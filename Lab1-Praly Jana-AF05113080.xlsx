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la\Downloads\"/>
    </mc:Choice>
  </mc:AlternateContent>
  <xr:revisionPtr revIDLastSave="0" documentId="8_{441C8A10-99FA-47B4-AB70-A9507E09A1C4}" xr6:coauthVersionLast="47" xr6:coauthVersionMax="47" xr10:uidLastSave="{00000000-0000-0000-0000-000000000000}"/>
  <bookViews>
    <workbookView xWindow="-110" yWindow="-110" windowWidth="19420" windowHeight="10300" xr2:uid="{2A16D612-CDDF-443C-9735-0DACF584D078}"/>
  </bookViews>
  <sheets>
    <sheet name="Lab1-Pralay Jana-AF0511308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2" i="1" l="1"/>
  <c r="O5" i="1"/>
  <c r="O6" i="1"/>
  <c r="O7" i="1"/>
  <c r="O8" i="1"/>
  <c r="O9" i="1"/>
  <c r="O10" i="1"/>
  <c r="O11" i="1"/>
  <c r="O4" i="1"/>
  <c r="N5" i="1"/>
  <c r="N6" i="1"/>
  <c r="N7" i="1"/>
  <c r="N8" i="1"/>
  <c r="N9" i="1"/>
  <c r="N10" i="1"/>
  <c r="N11" i="1"/>
  <c r="N4" i="1"/>
  <c r="M5" i="1"/>
  <c r="M6" i="1"/>
  <c r="M7" i="1"/>
  <c r="M8" i="1"/>
  <c r="M9" i="1"/>
  <c r="M10" i="1"/>
  <c r="M11" i="1"/>
  <c r="M4" i="1"/>
  <c r="L5" i="1"/>
  <c r="L6" i="1"/>
  <c r="L7" i="1"/>
  <c r="L8" i="1"/>
  <c r="L9" i="1"/>
  <c r="L10" i="1"/>
  <c r="L11" i="1"/>
  <c r="L4" i="1"/>
  <c r="K12" i="1"/>
  <c r="K5" i="1"/>
  <c r="K6" i="1"/>
  <c r="K7" i="1"/>
  <c r="K8" i="1"/>
  <c r="K9" i="1"/>
  <c r="K10" i="1"/>
  <c r="K11" i="1"/>
  <c r="K4" i="1"/>
</calcChain>
</file>

<file path=xl/sharedStrings.xml><?xml version="1.0" encoding="utf-8"?>
<sst xmlns="http://schemas.openxmlformats.org/spreadsheetml/2006/main" count="29" uniqueCount="24">
  <si>
    <t>order id</t>
  </si>
  <si>
    <t>product</t>
  </si>
  <si>
    <t>price</t>
  </si>
  <si>
    <t>quantity</t>
  </si>
  <si>
    <t>discount%</t>
  </si>
  <si>
    <t>salesperson</t>
  </si>
  <si>
    <t>pen</t>
  </si>
  <si>
    <t>amit</t>
  </si>
  <si>
    <t>pencil</t>
  </si>
  <si>
    <t>riya</t>
  </si>
  <si>
    <t>notebook</t>
  </si>
  <si>
    <t>john</t>
  </si>
  <si>
    <t>eraser</t>
  </si>
  <si>
    <t>marker</t>
  </si>
  <si>
    <t>scale</t>
  </si>
  <si>
    <t>sharpener</t>
  </si>
  <si>
    <t>file</t>
  </si>
  <si>
    <t>Company Tax</t>
  </si>
  <si>
    <t>Shipng Charge</t>
  </si>
  <si>
    <t>Total price</t>
  </si>
  <si>
    <t>discount Amount</t>
  </si>
  <si>
    <t xml:space="preserve"> After discount</t>
  </si>
  <si>
    <t>Tax amount</t>
  </si>
  <si>
    <t>Shiping charge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</si>
</sst>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9" fontId="0" fillId="0" borderId="1" xfId="0" applyNumberFormat="1" applyBorder="1"/>
    <xf numFmtId="0" fontId="1" fillId="0" borderId="1" xfId="0" applyFont="1" applyBorder="1"/>
    <xf numFmtId="9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B09C9-66DA-4EBA-B797-602342CF4F00}">
  <dimension ref="A1:O12"/>
  <sheetViews>
    <sheetView tabSelected="1" workbookViewId="0">
      <selection activeCell="E15" sqref="E15"/>
    </sheetView>
  </sheetViews>
  <sheetFormatPr defaultRowHeight="14.5" x14ac:dyDescent="0.35"/>
  <cols>
    <col min="1" max="1" width="7.453125" bestFit="1" customWidth="1"/>
    <col min="2" max="2" width="9.36328125" bestFit="1" customWidth="1"/>
    <col min="3" max="3" width="4.90625" bestFit="1" customWidth="1"/>
    <col min="4" max="4" width="7.7265625" bestFit="1" customWidth="1"/>
    <col min="5" max="5" width="9.36328125" bestFit="1" customWidth="1"/>
    <col min="6" max="6" width="10.7265625" bestFit="1" customWidth="1"/>
    <col min="8" max="8" width="12.08984375" bestFit="1" customWidth="1"/>
    <col min="11" max="11" width="9.54296875" bestFit="1" customWidth="1"/>
    <col min="12" max="12" width="15.1796875" bestFit="1" customWidth="1"/>
    <col min="13" max="13" width="13.08984375" bestFit="1" customWidth="1"/>
    <col min="14" max="14" width="10.7265625" bestFit="1" customWidth="1"/>
    <col min="15" max="15" width="12.90625" bestFit="1" customWidth="1"/>
  </cols>
  <sheetData>
    <row r="1" spans="1:15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15" x14ac:dyDescent="0.35">
      <c r="A2" s="1">
        <v>1001</v>
      </c>
      <c r="B2" s="1" t="s">
        <v>6</v>
      </c>
      <c r="C2" s="1">
        <v>10</v>
      </c>
      <c r="D2" s="1">
        <v>5</v>
      </c>
      <c r="E2" s="2">
        <v>0.05</v>
      </c>
      <c r="F2" s="1" t="s">
        <v>7</v>
      </c>
      <c r="H2" s="3" t="s">
        <v>17</v>
      </c>
      <c r="I2" s="4">
        <v>0.18</v>
      </c>
    </row>
    <row r="3" spans="1:15" x14ac:dyDescent="0.35">
      <c r="A3" s="1">
        <v>1002</v>
      </c>
      <c r="B3" s="1" t="s">
        <v>8</v>
      </c>
      <c r="C3" s="1">
        <v>5</v>
      </c>
      <c r="D3" s="1">
        <v>10</v>
      </c>
      <c r="E3" s="2">
        <v>0</v>
      </c>
      <c r="F3" s="1" t="s">
        <v>9</v>
      </c>
      <c r="H3" s="3" t="s">
        <v>18</v>
      </c>
      <c r="I3" s="3">
        <v>20</v>
      </c>
      <c r="K3" s="3" t="s">
        <v>19</v>
      </c>
      <c r="L3" s="3" t="s">
        <v>20</v>
      </c>
      <c r="M3" s="3" t="s">
        <v>21</v>
      </c>
      <c r="N3" s="3" t="s">
        <v>22</v>
      </c>
      <c r="O3" s="3" t="s">
        <v>23</v>
      </c>
    </row>
    <row r="4" spans="1:15" x14ac:dyDescent="0.35">
      <c r="A4" s="1">
        <v>1003</v>
      </c>
      <c r="B4" s="1" t="s">
        <v>10</v>
      </c>
      <c r="C4" s="1">
        <v>50</v>
      </c>
      <c r="D4" s="1">
        <v>3</v>
      </c>
      <c r="E4" s="2">
        <v>0.1</v>
      </c>
      <c r="F4" s="1" t="s">
        <v>11</v>
      </c>
      <c r="K4" s="1">
        <f>C2*D2</f>
        <v>50</v>
      </c>
      <c r="L4" s="1">
        <f>K4*E2</f>
        <v>2.5</v>
      </c>
      <c r="M4" s="1">
        <f>K4-L4</f>
        <v>47.5</v>
      </c>
      <c r="N4" s="1">
        <f>M4*$I$2</f>
        <v>8.5499999999999989</v>
      </c>
      <c r="O4" s="1">
        <f>M4+N4+$I$3</f>
        <v>76.05</v>
      </c>
    </row>
    <row r="5" spans="1:15" x14ac:dyDescent="0.35">
      <c r="A5" s="1">
        <v>1004</v>
      </c>
      <c r="B5" s="1" t="s">
        <v>12</v>
      </c>
      <c r="C5" s="1">
        <v>3</v>
      </c>
      <c r="D5" s="1">
        <v>20</v>
      </c>
      <c r="E5" s="2">
        <v>0</v>
      </c>
      <c r="F5" s="1" t="s">
        <v>7</v>
      </c>
      <c r="K5" s="1">
        <f t="shared" ref="K5:K11" si="0">C3*D3</f>
        <v>50</v>
      </c>
      <c r="L5" s="1">
        <f t="shared" ref="L5:L11" si="1">K5*E3</f>
        <v>0</v>
      </c>
      <c r="M5" s="1">
        <f t="shared" ref="M5:M11" si="2">K5-L5</f>
        <v>50</v>
      </c>
      <c r="N5" s="1">
        <f t="shared" ref="N5:N11" si="3">M5*$I$2</f>
        <v>9</v>
      </c>
      <c r="O5" s="1">
        <f t="shared" ref="O5:O11" si="4">M5+N5+$I$3</f>
        <v>79</v>
      </c>
    </row>
    <row r="6" spans="1:15" x14ac:dyDescent="0.35">
      <c r="A6" s="1">
        <v>1005</v>
      </c>
      <c r="B6" s="1" t="s">
        <v>13</v>
      </c>
      <c r="C6" s="1">
        <v>25</v>
      </c>
      <c r="D6" s="1">
        <v>4</v>
      </c>
      <c r="E6" s="2">
        <v>0.05</v>
      </c>
      <c r="F6" s="1" t="s">
        <v>9</v>
      </c>
      <c r="K6" s="1">
        <f t="shared" si="0"/>
        <v>150</v>
      </c>
      <c r="L6" s="1">
        <f t="shared" si="1"/>
        <v>15</v>
      </c>
      <c r="M6" s="1">
        <f t="shared" si="2"/>
        <v>135</v>
      </c>
      <c r="N6" s="1">
        <f t="shared" si="3"/>
        <v>24.3</v>
      </c>
      <c r="O6" s="1">
        <f t="shared" si="4"/>
        <v>179.3</v>
      </c>
    </row>
    <row r="7" spans="1:15" x14ac:dyDescent="0.35">
      <c r="A7" s="1">
        <v>1006</v>
      </c>
      <c r="B7" s="1" t="s">
        <v>14</v>
      </c>
      <c r="C7" s="1">
        <v>15</v>
      </c>
      <c r="D7" s="1">
        <v>6</v>
      </c>
      <c r="E7" s="2">
        <v>0</v>
      </c>
      <c r="F7" s="1" t="s">
        <v>11</v>
      </c>
      <c r="K7" s="1">
        <f t="shared" si="0"/>
        <v>60</v>
      </c>
      <c r="L7" s="1">
        <f t="shared" si="1"/>
        <v>0</v>
      </c>
      <c r="M7" s="1">
        <f t="shared" si="2"/>
        <v>60</v>
      </c>
      <c r="N7" s="1">
        <f t="shared" si="3"/>
        <v>10.799999999999999</v>
      </c>
      <c r="O7" s="1">
        <f t="shared" si="4"/>
        <v>90.8</v>
      </c>
    </row>
    <row r="8" spans="1:15" x14ac:dyDescent="0.35">
      <c r="A8" s="1">
        <v>1007</v>
      </c>
      <c r="B8" s="1" t="s">
        <v>15</v>
      </c>
      <c r="C8" s="1">
        <v>8</v>
      </c>
      <c r="D8" s="1">
        <v>8</v>
      </c>
      <c r="E8" s="2">
        <v>0.05</v>
      </c>
      <c r="F8" s="1" t="s">
        <v>7</v>
      </c>
      <c r="K8" s="1">
        <f t="shared" si="0"/>
        <v>100</v>
      </c>
      <c r="L8" s="1">
        <f t="shared" si="1"/>
        <v>5</v>
      </c>
      <c r="M8" s="1">
        <f t="shared" si="2"/>
        <v>95</v>
      </c>
      <c r="N8" s="1">
        <f t="shared" si="3"/>
        <v>17.099999999999998</v>
      </c>
      <c r="O8" s="1">
        <f t="shared" si="4"/>
        <v>132.1</v>
      </c>
    </row>
    <row r="9" spans="1:15" x14ac:dyDescent="0.35">
      <c r="A9" s="1">
        <v>1008</v>
      </c>
      <c r="B9" s="1" t="s">
        <v>16</v>
      </c>
      <c r="C9" s="1">
        <v>40</v>
      </c>
      <c r="D9" s="1">
        <v>2</v>
      </c>
      <c r="E9" s="2">
        <v>0.1</v>
      </c>
      <c r="F9" s="1" t="s">
        <v>9</v>
      </c>
      <c r="K9" s="1">
        <f t="shared" si="0"/>
        <v>90</v>
      </c>
      <c r="L9" s="1">
        <f t="shared" si="1"/>
        <v>0</v>
      </c>
      <c r="M9" s="1">
        <f t="shared" si="2"/>
        <v>90</v>
      </c>
      <c r="N9" s="1">
        <f t="shared" si="3"/>
        <v>16.2</v>
      </c>
      <c r="O9" s="1">
        <f t="shared" si="4"/>
        <v>126.2</v>
      </c>
    </row>
    <row r="10" spans="1:15" x14ac:dyDescent="0.35">
      <c r="K10" s="1">
        <f t="shared" si="0"/>
        <v>64</v>
      </c>
      <c r="L10" s="1">
        <f t="shared" si="1"/>
        <v>3.2</v>
      </c>
      <c r="M10" s="1">
        <f t="shared" si="2"/>
        <v>60.8</v>
      </c>
      <c r="N10" s="1">
        <f t="shared" si="3"/>
        <v>10.943999999999999</v>
      </c>
      <c r="O10" s="1">
        <f t="shared" si="4"/>
        <v>91.744</v>
      </c>
    </row>
    <row r="11" spans="1:15" x14ac:dyDescent="0.35">
      <c r="K11" s="1">
        <f t="shared" si="0"/>
        <v>80</v>
      </c>
      <c r="L11" s="1">
        <f t="shared" si="1"/>
        <v>8</v>
      </c>
      <c r="M11" s="1">
        <f t="shared" si="2"/>
        <v>72</v>
      </c>
      <c r="N11" s="1">
        <f t="shared" si="3"/>
        <v>12.959999999999999</v>
      </c>
      <c r="O11" s="1">
        <f t="shared" si="4"/>
        <v>104.96</v>
      </c>
    </row>
    <row r="12" spans="1:15" x14ac:dyDescent="0.35">
      <c r="K12" s="1">
        <f>SUM(K4:K11)</f>
        <v>644</v>
      </c>
      <c r="L12" s="1"/>
      <c r="M12" s="1"/>
      <c r="N12" s="1"/>
      <c r="O12" s="1">
        <f>SUM(O4:O11)</f>
        <v>880.15400000000011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Lab1-Pralay Jana-AF05113080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Pralay Jana</dc:creator>
  <cp:lastModifiedBy>Pralay Jana</cp:lastModifiedBy>
  <dcterms:created xsi:type="dcterms:W3CDTF">2026-02-20T09:25:27Z</dcterms:created>
  <dcterms:modified xsi:type="dcterms:W3CDTF">2026-02-20T10:29:15Z</dcterms:modified>
</cp:coreProperties>
</file>