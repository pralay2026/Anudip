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la\Downloads\"/>
    </mc:Choice>
  </mc:AlternateContent>
  <xr:revisionPtr revIDLastSave="0" documentId="8_{AD904098-0034-492C-9C1A-0045BD9E08B9}" xr6:coauthVersionLast="47" xr6:coauthVersionMax="47" xr10:uidLastSave="{00000000-0000-0000-0000-000000000000}"/>
  <bookViews>
    <workbookView xWindow="-110" yWindow="-110" windowWidth="19420" windowHeight="10300" xr2:uid="{7C66AA12-17D7-4C18-9571-79084A8F6F55}"/>
  </bookViews>
  <sheets>
    <sheet name="Sheet1" sheetId="1" r:id="rId1"/>
  </sheets>
  <definedNames>
    <definedName name="_xlnm._FilterDatabase" localSheetId="0" hidden="1">Sheet1!$L$27:$T$32</definedName>
    <definedName name="_xlnm.Criteria" localSheetId="0">Sheet1!#REF!</definedName>
    <definedName name="_xlnm.Extract" localSheetId="0">Sheet1!$L$61:$T$61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8" i="1" l="1"/>
  <c r="T33" i="1"/>
  <c r="T25" i="1"/>
  <c r="I67" i="1"/>
  <c r="G59" i="1"/>
  <c r="G51" i="1"/>
  <c r="J16" i="1"/>
  <c r="J17" i="1"/>
  <c r="J18" i="1"/>
  <c r="J19" i="1"/>
  <c r="J20" i="1"/>
  <c r="J21" i="1"/>
  <c r="J22" i="1"/>
  <c r="J23" i="1"/>
  <c r="J24" i="1"/>
  <c r="J15" i="1"/>
  <c r="A50" i="1"/>
  <c r="I50" i="1"/>
  <c r="I51" i="1" l="1"/>
</calcChain>
</file>

<file path=xl/sharedStrings.xml><?xml version="1.0" encoding="utf-8"?>
<sst xmlns="http://schemas.openxmlformats.org/spreadsheetml/2006/main" count="435" uniqueCount="51">
  <si>
    <t>Order_ID</t>
  </si>
  <si>
    <t>Date</t>
  </si>
  <si>
    <t>Region</t>
  </si>
  <si>
    <t>Salesperson</t>
  </si>
  <si>
    <t>Product</t>
  </si>
  <si>
    <t>Category</t>
  </si>
  <si>
    <t>Quantity</t>
  </si>
  <si>
    <t>Unit_Price</t>
  </si>
  <si>
    <t>Total_Sales</t>
  </si>
  <si>
    <t>East</t>
  </si>
  <si>
    <t>Amit</t>
  </si>
  <si>
    <t>Laptop</t>
  </si>
  <si>
    <t>Electronics</t>
  </si>
  <si>
    <t>West</t>
  </si>
  <si>
    <t>Priya</t>
  </si>
  <si>
    <t>Phone</t>
  </si>
  <si>
    <t>North</t>
  </si>
  <si>
    <t>Rahul</t>
  </si>
  <si>
    <t>Chair</t>
  </si>
  <si>
    <t>Furniture</t>
  </si>
  <si>
    <t>South</t>
  </si>
  <si>
    <t>Neha</t>
  </si>
  <si>
    <t>Table</t>
  </si>
  <si>
    <t>Desk</t>
  </si>
  <si>
    <t>Q1. Sort Total_Sales from Highest to Lowest.</t>
  </si>
  <si>
    <t>Q2. Filter data to show only "Electronics" category.</t>
  </si>
  <si>
    <t>Q3. Filter sales done by Amit in East region.</t>
  </si>
  <si>
    <t>Q4. Find total sales of all orders.</t>
  </si>
  <si>
    <t>Q5. Find total quantity sold.</t>
  </si>
  <si>
    <t>Q6. Find average Total_Sales.</t>
  </si>
  <si>
    <t>Q7. Find average quantity sold per order.</t>
  </si>
  <si>
    <t>Q8. Count total number of orders.</t>
  </si>
  <si>
    <t>Q9. Count number of Furniture orders.</t>
  </si>
  <si>
    <t>Q10. Find total sales for Electronics category.</t>
  </si>
  <si>
    <t>Q11. Find total sales done by Amit.</t>
  </si>
  <si>
    <t>Q12. Total sales of Electronics in East region.</t>
  </si>
  <si>
    <t>Q13. Total sales by Priya in West region.</t>
  </si>
  <si>
    <t>Q14. Highlight Total_Sales greater than 1,00,000.</t>
  </si>
  <si>
    <t>Q15. Highlight Quantity less than 3.</t>
  </si>
  <si>
    <t>Q16. Count orders where:</t>
  </si>
  <si>
    <t>Category = Electronics</t>
  </si>
  <si>
    <t>Quantity &gt; 3</t>
  </si>
  <si>
    <t>total sale</t>
  </si>
  <si>
    <t>average sold</t>
  </si>
  <si>
    <t>per oder</t>
  </si>
  <si>
    <t>total order</t>
  </si>
  <si>
    <t>total furnit</t>
  </si>
  <si>
    <t>amit sale</t>
  </si>
  <si>
    <t>total</t>
  </si>
  <si>
    <t>&gt;3</t>
  </si>
  <si>
    <t>Quentity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</si>
</sst>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1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B6149-8E81-489F-91E3-C4CF917A52EE}">
  <dimension ref="A1:W67"/>
  <sheetViews>
    <sheetView tabSelected="1" zoomScale="63" workbookViewId="0">
      <selection activeCell="V63" sqref="V63"/>
    </sheetView>
  </sheetViews>
  <sheetFormatPr defaultRowHeight="14.5" x14ac:dyDescent="0.35"/>
  <cols>
    <col min="1" max="1" width="8.54296875" bestFit="1" customWidth="1"/>
    <col min="2" max="2" width="10.36328125" bestFit="1" customWidth="1"/>
    <col min="3" max="3" width="6.81640625" bestFit="1" customWidth="1"/>
    <col min="4" max="4" width="11" bestFit="1" customWidth="1"/>
    <col min="5" max="5" width="7.6328125" bestFit="1" customWidth="1"/>
    <col min="6" max="6" width="9.90625" bestFit="1" customWidth="1"/>
    <col min="7" max="7" width="8.36328125" bestFit="1" customWidth="1"/>
    <col min="8" max="8" width="9.6328125" bestFit="1" customWidth="1"/>
    <col min="9" max="9" width="10.453125" bestFit="1" customWidth="1"/>
    <col min="13" max="13" width="10.089843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35">
      <c r="A2" s="2">
        <v>1001</v>
      </c>
      <c r="B2" s="3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  <c r="K2" t="s">
        <v>24</v>
      </c>
    </row>
    <row r="3" spans="1:11" x14ac:dyDescent="0.35">
      <c r="A3" s="2">
        <v>1002</v>
      </c>
      <c r="B3" s="3">
        <v>45299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5</v>
      </c>
      <c r="H3" s="2">
        <v>20000</v>
      </c>
      <c r="I3" s="2">
        <v>100000</v>
      </c>
      <c r="K3" t="s">
        <v>25</v>
      </c>
    </row>
    <row r="4" spans="1:11" x14ac:dyDescent="0.35">
      <c r="A4" s="2">
        <v>1003</v>
      </c>
      <c r="B4" s="3">
        <v>45303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10</v>
      </c>
      <c r="H4" s="2">
        <v>3000</v>
      </c>
      <c r="I4" s="2">
        <v>30000</v>
      </c>
      <c r="K4" t="s">
        <v>26</v>
      </c>
    </row>
    <row r="5" spans="1:11" x14ac:dyDescent="0.35">
      <c r="A5" s="2">
        <v>1004</v>
      </c>
      <c r="B5" s="3">
        <v>45306</v>
      </c>
      <c r="C5" s="2" t="s">
        <v>20</v>
      </c>
      <c r="D5" s="2" t="s">
        <v>21</v>
      </c>
      <c r="E5" s="2" t="s">
        <v>22</v>
      </c>
      <c r="F5" s="2" t="s">
        <v>19</v>
      </c>
      <c r="G5" s="2">
        <v>3</v>
      </c>
      <c r="H5" s="2">
        <v>7000</v>
      </c>
      <c r="I5" s="2">
        <v>21000</v>
      </c>
      <c r="K5" t="s">
        <v>27</v>
      </c>
    </row>
    <row r="6" spans="1:11" x14ac:dyDescent="0.35">
      <c r="A6" s="2">
        <v>1005</v>
      </c>
      <c r="B6" s="3">
        <v>45309</v>
      </c>
      <c r="C6" s="2" t="s">
        <v>9</v>
      </c>
      <c r="D6" s="2" t="s">
        <v>10</v>
      </c>
      <c r="E6" s="2" t="s">
        <v>15</v>
      </c>
      <c r="F6" s="2" t="s">
        <v>12</v>
      </c>
      <c r="G6" s="2">
        <v>4</v>
      </c>
      <c r="H6" s="2">
        <v>20000</v>
      </c>
      <c r="I6" s="2">
        <v>80000</v>
      </c>
      <c r="K6" t="s">
        <v>28</v>
      </c>
    </row>
    <row r="7" spans="1:11" x14ac:dyDescent="0.35">
      <c r="A7" s="2">
        <v>1006</v>
      </c>
      <c r="B7" s="3">
        <v>45311</v>
      </c>
      <c r="C7" s="2" t="s">
        <v>13</v>
      </c>
      <c r="D7" s="2" t="s">
        <v>14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  <c r="K7" t="s">
        <v>29</v>
      </c>
    </row>
    <row r="8" spans="1:11" x14ac:dyDescent="0.35">
      <c r="A8" s="2">
        <v>1007</v>
      </c>
      <c r="B8" s="3">
        <v>45316</v>
      </c>
      <c r="C8" s="2" t="s">
        <v>16</v>
      </c>
      <c r="D8" s="2" t="s">
        <v>17</v>
      </c>
      <c r="E8" s="2" t="s">
        <v>23</v>
      </c>
      <c r="F8" s="2" t="s">
        <v>19</v>
      </c>
      <c r="G8" s="2">
        <v>2</v>
      </c>
      <c r="H8" s="2">
        <v>10000</v>
      </c>
      <c r="I8" s="2">
        <v>20000</v>
      </c>
      <c r="K8" t="s">
        <v>30</v>
      </c>
    </row>
    <row r="9" spans="1:11" x14ac:dyDescent="0.35">
      <c r="A9" s="2">
        <v>1008</v>
      </c>
      <c r="B9" s="3">
        <v>45319</v>
      </c>
      <c r="C9" s="2" t="s">
        <v>20</v>
      </c>
      <c r="D9" s="2" t="s">
        <v>21</v>
      </c>
      <c r="E9" s="2" t="s">
        <v>15</v>
      </c>
      <c r="F9" s="2" t="s">
        <v>12</v>
      </c>
      <c r="G9" s="2">
        <v>6</v>
      </c>
      <c r="H9" s="2">
        <v>20000</v>
      </c>
      <c r="I9" s="2">
        <v>120000</v>
      </c>
      <c r="K9" t="s">
        <v>31</v>
      </c>
    </row>
    <row r="10" spans="1:11" x14ac:dyDescent="0.35">
      <c r="A10" s="2">
        <v>1009</v>
      </c>
      <c r="B10" s="3">
        <v>45324</v>
      </c>
      <c r="C10" s="2" t="s">
        <v>9</v>
      </c>
      <c r="D10" s="2" t="s">
        <v>10</v>
      </c>
      <c r="E10" s="2" t="s">
        <v>22</v>
      </c>
      <c r="F10" s="2" t="s">
        <v>19</v>
      </c>
      <c r="G10" s="2">
        <v>5</v>
      </c>
      <c r="H10" s="2">
        <v>7000</v>
      </c>
      <c r="I10" s="2">
        <v>35000</v>
      </c>
      <c r="K10" t="s">
        <v>32</v>
      </c>
    </row>
    <row r="11" spans="1:11" x14ac:dyDescent="0.35">
      <c r="A11" s="2">
        <v>1010</v>
      </c>
      <c r="B11" s="3">
        <v>45327</v>
      </c>
      <c r="C11" s="2" t="s">
        <v>13</v>
      </c>
      <c r="D11" s="2" t="s">
        <v>14</v>
      </c>
      <c r="E11" s="2" t="s">
        <v>18</v>
      </c>
      <c r="F11" s="2" t="s">
        <v>19</v>
      </c>
      <c r="G11" s="2">
        <v>7</v>
      </c>
      <c r="H11" s="2">
        <v>3000</v>
      </c>
      <c r="I11" s="2">
        <v>21000</v>
      </c>
      <c r="K11" t="s">
        <v>33</v>
      </c>
    </row>
    <row r="12" spans="1:11" x14ac:dyDescent="0.35">
      <c r="K12" t="s">
        <v>34</v>
      </c>
    </row>
    <row r="13" spans="1:11" x14ac:dyDescent="0.35">
      <c r="K13" t="s">
        <v>35</v>
      </c>
    </row>
    <row r="14" spans="1:11" x14ac:dyDescent="0.35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  <c r="I14" s="1" t="s">
        <v>8</v>
      </c>
      <c r="J14" s="5" t="s">
        <v>44</v>
      </c>
      <c r="K14" t="s">
        <v>36</v>
      </c>
    </row>
    <row r="15" spans="1:11" x14ac:dyDescent="0.35">
      <c r="A15" s="2">
        <v>1008</v>
      </c>
      <c r="B15" s="3">
        <v>45319</v>
      </c>
      <c r="C15" s="2" t="s">
        <v>20</v>
      </c>
      <c r="D15" s="2" t="s">
        <v>21</v>
      </c>
      <c r="E15" s="2" t="s">
        <v>15</v>
      </c>
      <c r="F15" s="2" t="s">
        <v>12</v>
      </c>
      <c r="G15" s="2">
        <v>6</v>
      </c>
      <c r="H15" s="2">
        <v>20000</v>
      </c>
      <c r="I15" s="2">
        <v>120000</v>
      </c>
      <c r="J15">
        <f>I15/G15</f>
        <v>20000</v>
      </c>
      <c r="K15" t="s">
        <v>37</v>
      </c>
    </row>
    <row r="16" spans="1:11" x14ac:dyDescent="0.35">
      <c r="A16" s="2">
        <v>1001</v>
      </c>
      <c r="B16" s="3">
        <v>45296</v>
      </c>
      <c r="C16" s="2" t="s">
        <v>9</v>
      </c>
      <c r="D16" s="2" t="s">
        <v>10</v>
      </c>
      <c r="E16" s="2" t="s">
        <v>11</v>
      </c>
      <c r="F16" s="2" t="s">
        <v>12</v>
      </c>
      <c r="G16" s="2">
        <v>2</v>
      </c>
      <c r="H16" s="2">
        <v>50000</v>
      </c>
      <c r="I16" s="2">
        <v>100000</v>
      </c>
      <c r="J16">
        <f t="shared" ref="J16:J24" si="0">I16/G16</f>
        <v>50000</v>
      </c>
      <c r="K16" t="s">
        <v>38</v>
      </c>
    </row>
    <row r="17" spans="1:23" x14ac:dyDescent="0.35">
      <c r="A17" s="2">
        <v>1002</v>
      </c>
      <c r="B17" s="3">
        <v>45299</v>
      </c>
      <c r="C17" s="2" t="s">
        <v>13</v>
      </c>
      <c r="D17" s="2" t="s">
        <v>14</v>
      </c>
      <c r="E17" s="2" t="s">
        <v>15</v>
      </c>
      <c r="F17" s="2" t="s">
        <v>12</v>
      </c>
      <c r="G17" s="2">
        <v>5</v>
      </c>
      <c r="H17" s="2">
        <v>20000</v>
      </c>
      <c r="I17" s="2">
        <v>100000</v>
      </c>
      <c r="J17">
        <f t="shared" si="0"/>
        <v>20000</v>
      </c>
      <c r="K17" t="s">
        <v>39</v>
      </c>
    </row>
    <row r="18" spans="1:23" x14ac:dyDescent="0.35">
      <c r="A18" s="2">
        <v>1005</v>
      </c>
      <c r="B18" s="3">
        <v>45309</v>
      </c>
      <c r="C18" s="2" t="s">
        <v>9</v>
      </c>
      <c r="D18" s="2" t="s">
        <v>10</v>
      </c>
      <c r="E18" s="2" t="s">
        <v>15</v>
      </c>
      <c r="F18" s="2" t="s">
        <v>12</v>
      </c>
      <c r="G18" s="2">
        <v>4</v>
      </c>
      <c r="H18" s="2">
        <v>20000</v>
      </c>
      <c r="I18" s="2">
        <v>80000</v>
      </c>
      <c r="J18">
        <f t="shared" si="0"/>
        <v>20000</v>
      </c>
      <c r="K18" s="4"/>
      <c r="L18" s="4" t="s">
        <v>40</v>
      </c>
    </row>
    <row r="19" spans="1:23" x14ac:dyDescent="0.35">
      <c r="A19" s="2">
        <v>1006</v>
      </c>
      <c r="B19" s="3">
        <v>45311</v>
      </c>
      <c r="C19" s="2" t="s">
        <v>13</v>
      </c>
      <c r="D19" s="2" t="s">
        <v>14</v>
      </c>
      <c r="E19" s="2" t="s">
        <v>11</v>
      </c>
      <c r="F19" s="2" t="s">
        <v>12</v>
      </c>
      <c r="G19" s="2">
        <v>1</v>
      </c>
      <c r="H19" s="2">
        <v>50000</v>
      </c>
      <c r="I19" s="2">
        <v>50000</v>
      </c>
      <c r="J19">
        <f t="shared" si="0"/>
        <v>50000</v>
      </c>
      <c r="K19" s="4"/>
      <c r="L19" s="4" t="s">
        <v>41</v>
      </c>
    </row>
    <row r="20" spans="1:23" x14ac:dyDescent="0.35">
      <c r="A20" s="2">
        <v>1009</v>
      </c>
      <c r="B20" s="3">
        <v>45324</v>
      </c>
      <c r="C20" s="2" t="s">
        <v>9</v>
      </c>
      <c r="D20" s="2" t="s">
        <v>10</v>
      </c>
      <c r="E20" s="2" t="s">
        <v>22</v>
      </c>
      <c r="F20" s="2" t="s">
        <v>19</v>
      </c>
      <c r="G20" s="2">
        <v>5</v>
      </c>
      <c r="H20" s="2">
        <v>7000</v>
      </c>
      <c r="I20" s="2">
        <v>35000</v>
      </c>
      <c r="J20">
        <f t="shared" si="0"/>
        <v>7000</v>
      </c>
      <c r="K20" s="4"/>
    </row>
    <row r="21" spans="1:23" ht="29" x14ac:dyDescent="0.35">
      <c r="A21" s="2">
        <v>1003</v>
      </c>
      <c r="B21" s="3">
        <v>45303</v>
      </c>
      <c r="C21" s="2" t="s">
        <v>16</v>
      </c>
      <c r="D21" s="2" t="s">
        <v>17</v>
      </c>
      <c r="E21" s="2" t="s">
        <v>18</v>
      </c>
      <c r="F21" s="2" t="s">
        <v>19</v>
      </c>
      <c r="G21" s="2">
        <v>10</v>
      </c>
      <c r="H21" s="2">
        <v>3000</v>
      </c>
      <c r="I21" s="2">
        <v>30000</v>
      </c>
      <c r="J21">
        <f t="shared" si="0"/>
        <v>3000</v>
      </c>
      <c r="K21" s="4"/>
      <c r="L21" s="1" t="s">
        <v>0</v>
      </c>
      <c r="M21" s="1" t="s">
        <v>1</v>
      </c>
      <c r="N21" s="1" t="s">
        <v>2</v>
      </c>
      <c r="O21" s="1" t="s">
        <v>3</v>
      </c>
      <c r="P21" s="1" t="s">
        <v>4</v>
      </c>
      <c r="Q21" s="1" t="s">
        <v>5</v>
      </c>
      <c r="R21" s="1" t="s">
        <v>6</v>
      </c>
      <c r="S21" s="1" t="s">
        <v>7</v>
      </c>
      <c r="T21" s="1" t="s">
        <v>8</v>
      </c>
      <c r="W21" s="1" t="s">
        <v>3</v>
      </c>
    </row>
    <row r="22" spans="1:23" ht="29" x14ac:dyDescent="0.35">
      <c r="A22" s="2">
        <v>1004</v>
      </c>
      <c r="B22" s="3">
        <v>45306</v>
      </c>
      <c r="C22" s="2" t="s">
        <v>20</v>
      </c>
      <c r="D22" s="2" t="s">
        <v>21</v>
      </c>
      <c r="E22" s="2" t="s">
        <v>22</v>
      </c>
      <c r="F22" s="2" t="s">
        <v>19</v>
      </c>
      <c r="G22" s="2">
        <v>3</v>
      </c>
      <c r="H22" s="2">
        <v>7000</v>
      </c>
      <c r="I22" s="2">
        <v>21000</v>
      </c>
      <c r="J22">
        <f t="shared" si="0"/>
        <v>7000</v>
      </c>
      <c r="L22" s="2">
        <v>1001</v>
      </c>
      <c r="M22" s="3">
        <v>45296</v>
      </c>
      <c r="N22" s="2" t="s">
        <v>9</v>
      </c>
      <c r="O22" s="2" t="s">
        <v>10</v>
      </c>
      <c r="P22" s="2" t="s">
        <v>11</v>
      </c>
      <c r="Q22" s="2" t="s">
        <v>12</v>
      </c>
      <c r="R22" s="2">
        <v>2</v>
      </c>
      <c r="S22" s="2">
        <v>50000</v>
      </c>
      <c r="T22" s="2">
        <v>100000</v>
      </c>
      <c r="W22" s="2" t="s">
        <v>10</v>
      </c>
    </row>
    <row r="23" spans="1:23" ht="29" x14ac:dyDescent="0.35">
      <c r="A23" s="2">
        <v>1010</v>
      </c>
      <c r="B23" s="3">
        <v>45327</v>
      </c>
      <c r="C23" s="2" t="s">
        <v>13</v>
      </c>
      <c r="D23" s="2" t="s">
        <v>14</v>
      </c>
      <c r="E23" s="2" t="s">
        <v>18</v>
      </c>
      <c r="F23" s="2" t="s">
        <v>19</v>
      </c>
      <c r="G23" s="2">
        <v>7</v>
      </c>
      <c r="H23" s="2">
        <v>3000</v>
      </c>
      <c r="I23" s="2">
        <v>21000</v>
      </c>
      <c r="J23">
        <f t="shared" si="0"/>
        <v>3000</v>
      </c>
      <c r="L23" s="2">
        <v>1005</v>
      </c>
      <c r="M23" s="3">
        <v>45309</v>
      </c>
      <c r="N23" s="2" t="s">
        <v>9</v>
      </c>
      <c r="O23" s="2" t="s">
        <v>10</v>
      </c>
      <c r="P23" s="2" t="s">
        <v>15</v>
      </c>
      <c r="Q23" s="2" t="s">
        <v>12</v>
      </c>
      <c r="R23" s="2">
        <v>4</v>
      </c>
      <c r="S23" s="2">
        <v>20000</v>
      </c>
      <c r="T23" s="2">
        <v>80000</v>
      </c>
    </row>
    <row r="24" spans="1:23" x14ac:dyDescent="0.35">
      <c r="A24" s="2">
        <v>1007</v>
      </c>
      <c r="B24" s="3">
        <v>45316</v>
      </c>
      <c r="C24" s="2" t="s">
        <v>16</v>
      </c>
      <c r="D24" s="2" t="s">
        <v>17</v>
      </c>
      <c r="E24" s="2" t="s">
        <v>23</v>
      </c>
      <c r="F24" s="2" t="s">
        <v>19</v>
      </c>
      <c r="G24" s="2">
        <v>2</v>
      </c>
      <c r="H24" s="2">
        <v>10000</v>
      </c>
      <c r="I24" s="2">
        <v>20000</v>
      </c>
      <c r="J24">
        <f t="shared" si="0"/>
        <v>10000</v>
      </c>
      <c r="L24" s="2">
        <v>1009</v>
      </c>
      <c r="M24" s="3">
        <v>45324</v>
      </c>
      <c r="N24" s="2" t="s">
        <v>9</v>
      </c>
      <c r="O24" s="2" t="s">
        <v>10</v>
      </c>
      <c r="P24" s="2" t="s">
        <v>22</v>
      </c>
      <c r="Q24" s="2" t="s">
        <v>19</v>
      </c>
      <c r="R24" s="2">
        <v>5</v>
      </c>
      <c r="S24" s="2">
        <v>7000</v>
      </c>
      <c r="T24" s="2">
        <v>35000</v>
      </c>
    </row>
    <row r="25" spans="1:23" x14ac:dyDescent="0.35">
      <c r="J25" s="1" t="s">
        <v>5</v>
      </c>
      <c r="S25" t="s">
        <v>47</v>
      </c>
      <c r="T25">
        <f>SUM(T22:T24)</f>
        <v>215000</v>
      </c>
    </row>
    <row r="26" spans="1:23" ht="29" x14ac:dyDescent="0.35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2" t="s">
        <v>12</v>
      </c>
      <c r="W26" s="1" t="s">
        <v>5</v>
      </c>
    </row>
    <row r="27" spans="1:23" ht="29" x14ac:dyDescent="0.35">
      <c r="A27" s="2">
        <v>1008</v>
      </c>
      <c r="B27" s="3">
        <v>45319</v>
      </c>
      <c r="C27" s="2" t="s">
        <v>20</v>
      </c>
      <c r="D27" s="2" t="s">
        <v>21</v>
      </c>
      <c r="E27" s="2" t="s">
        <v>15</v>
      </c>
      <c r="F27" s="2" t="s">
        <v>12</v>
      </c>
      <c r="G27" s="2">
        <v>6</v>
      </c>
      <c r="H27" s="2">
        <v>20000</v>
      </c>
      <c r="I27" s="2">
        <v>120000</v>
      </c>
      <c r="L27" s="1" t="s">
        <v>0</v>
      </c>
      <c r="M27" s="1" t="s">
        <v>1</v>
      </c>
      <c r="N27" s="1" t="s">
        <v>2</v>
      </c>
      <c r="O27" s="1" t="s">
        <v>3</v>
      </c>
      <c r="P27" s="1" t="s">
        <v>4</v>
      </c>
      <c r="Q27" s="1" t="s">
        <v>5</v>
      </c>
      <c r="R27" s="1" t="s">
        <v>6</v>
      </c>
      <c r="S27" s="1" t="s">
        <v>7</v>
      </c>
      <c r="T27" s="1" t="s">
        <v>8</v>
      </c>
      <c r="W27" s="2" t="s">
        <v>12</v>
      </c>
    </row>
    <row r="28" spans="1:23" ht="29" x14ac:dyDescent="0.35">
      <c r="A28" s="2">
        <v>1001</v>
      </c>
      <c r="B28" s="3">
        <v>45296</v>
      </c>
      <c r="C28" s="2" t="s">
        <v>9</v>
      </c>
      <c r="D28" s="2" t="s">
        <v>10</v>
      </c>
      <c r="E28" s="2" t="s">
        <v>11</v>
      </c>
      <c r="F28" s="2" t="s">
        <v>12</v>
      </c>
      <c r="G28" s="2">
        <v>2</v>
      </c>
      <c r="H28" s="2">
        <v>50000</v>
      </c>
      <c r="I28" s="2">
        <v>100000</v>
      </c>
      <c r="L28" s="2">
        <v>1008</v>
      </c>
      <c r="M28" s="3">
        <v>45319</v>
      </c>
      <c r="N28" s="2" t="s">
        <v>20</v>
      </c>
      <c r="O28" s="2" t="s">
        <v>21</v>
      </c>
      <c r="P28" s="2" t="s">
        <v>15</v>
      </c>
      <c r="Q28" s="2" t="s">
        <v>12</v>
      </c>
      <c r="R28" s="2">
        <v>6</v>
      </c>
      <c r="S28" s="2">
        <v>20000</v>
      </c>
      <c r="T28" s="2">
        <v>120000</v>
      </c>
    </row>
    <row r="29" spans="1:23" ht="29" x14ac:dyDescent="0.35">
      <c r="A29" s="2">
        <v>1002</v>
      </c>
      <c r="B29" s="3">
        <v>45299</v>
      </c>
      <c r="C29" s="2" t="s">
        <v>13</v>
      </c>
      <c r="D29" s="2" t="s">
        <v>14</v>
      </c>
      <c r="E29" s="2" t="s">
        <v>15</v>
      </c>
      <c r="F29" s="2" t="s">
        <v>12</v>
      </c>
      <c r="G29" s="2">
        <v>5</v>
      </c>
      <c r="H29" s="2">
        <v>20000</v>
      </c>
      <c r="I29" s="2">
        <v>100000</v>
      </c>
      <c r="L29" s="2">
        <v>1001</v>
      </c>
      <c r="M29" s="3">
        <v>45296</v>
      </c>
      <c r="N29" s="2" t="s">
        <v>9</v>
      </c>
      <c r="O29" s="2" t="s">
        <v>10</v>
      </c>
      <c r="P29" s="2" t="s">
        <v>11</v>
      </c>
      <c r="Q29" s="2" t="s">
        <v>12</v>
      </c>
      <c r="R29" s="2">
        <v>2</v>
      </c>
      <c r="S29" s="2">
        <v>50000</v>
      </c>
      <c r="T29" s="2">
        <v>100000</v>
      </c>
    </row>
    <row r="30" spans="1:23" ht="29" x14ac:dyDescent="0.35">
      <c r="A30" s="2">
        <v>1005</v>
      </c>
      <c r="B30" s="3">
        <v>45309</v>
      </c>
      <c r="C30" s="2" t="s">
        <v>9</v>
      </c>
      <c r="D30" s="2" t="s">
        <v>10</v>
      </c>
      <c r="E30" s="2" t="s">
        <v>15</v>
      </c>
      <c r="F30" s="2" t="s">
        <v>12</v>
      </c>
      <c r="G30" s="2">
        <v>4</v>
      </c>
      <c r="H30" s="2">
        <v>20000</v>
      </c>
      <c r="I30" s="2">
        <v>80000</v>
      </c>
      <c r="L30" s="2">
        <v>1002</v>
      </c>
      <c r="M30" s="3">
        <v>45299</v>
      </c>
      <c r="N30" s="2" t="s">
        <v>13</v>
      </c>
      <c r="O30" s="2" t="s">
        <v>14</v>
      </c>
      <c r="P30" s="2" t="s">
        <v>15</v>
      </c>
      <c r="Q30" s="2" t="s">
        <v>12</v>
      </c>
      <c r="R30" s="2">
        <v>5</v>
      </c>
      <c r="S30" s="2">
        <v>20000</v>
      </c>
      <c r="T30" s="2">
        <v>100000</v>
      </c>
    </row>
    <row r="31" spans="1:23" ht="29" x14ac:dyDescent="0.35">
      <c r="A31" s="2">
        <v>1006</v>
      </c>
      <c r="B31" s="3">
        <v>45311</v>
      </c>
      <c r="C31" s="2" t="s">
        <v>13</v>
      </c>
      <c r="D31" s="2" t="s">
        <v>14</v>
      </c>
      <c r="E31" s="2" t="s">
        <v>11</v>
      </c>
      <c r="F31" s="2" t="s">
        <v>12</v>
      </c>
      <c r="G31" s="2">
        <v>1</v>
      </c>
      <c r="H31" s="2">
        <v>50000</v>
      </c>
      <c r="I31" s="2">
        <v>50000</v>
      </c>
      <c r="L31" s="2">
        <v>1005</v>
      </c>
      <c r="M31" s="3">
        <v>45309</v>
      </c>
      <c r="N31" s="2" t="s">
        <v>9</v>
      </c>
      <c r="O31" s="2" t="s">
        <v>10</v>
      </c>
      <c r="P31" s="2" t="s">
        <v>15</v>
      </c>
      <c r="Q31" s="2" t="s">
        <v>12</v>
      </c>
      <c r="R31" s="2">
        <v>4</v>
      </c>
      <c r="S31" s="2">
        <v>20000</v>
      </c>
      <c r="T31" s="2">
        <v>80000</v>
      </c>
    </row>
    <row r="32" spans="1:23" ht="29" x14ac:dyDescent="0.35">
      <c r="L32" s="2">
        <v>1006</v>
      </c>
      <c r="M32" s="3">
        <v>45311</v>
      </c>
      <c r="N32" s="2" t="s">
        <v>13</v>
      </c>
      <c r="O32" s="2" t="s">
        <v>14</v>
      </c>
      <c r="P32" s="2" t="s">
        <v>11</v>
      </c>
      <c r="Q32" s="2" t="s">
        <v>12</v>
      </c>
      <c r="R32" s="2">
        <v>1</v>
      </c>
      <c r="S32" s="2">
        <v>50000</v>
      </c>
      <c r="T32" s="2">
        <v>50000</v>
      </c>
    </row>
    <row r="33" spans="1:22" ht="29" x14ac:dyDescent="0.35">
      <c r="J33" s="1" t="s">
        <v>3</v>
      </c>
      <c r="S33" t="s">
        <v>48</v>
      </c>
      <c r="T33">
        <f>SUM(T29:T31)</f>
        <v>280000</v>
      </c>
    </row>
    <row r="34" spans="1:22" ht="29" x14ac:dyDescent="0.3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6</v>
      </c>
      <c r="H34" s="1" t="s">
        <v>7</v>
      </c>
      <c r="I34" s="1" t="s">
        <v>8</v>
      </c>
      <c r="J34" s="2" t="s">
        <v>10</v>
      </c>
      <c r="V34" s="1" t="s">
        <v>3</v>
      </c>
    </row>
    <row r="35" spans="1:22" ht="29" x14ac:dyDescent="0.35">
      <c r="A35" s="2">
        <v>1001</v>
      </c>
      <c r="B35" s="3">
        <v>45296</v>
      </c>
      <c r="C35" s="2" t="s">
        <v>9</v>
      </c>
      <c r="D35" s="2" t="s">
        <v>10</v>
      </c>
      <c r="E35" s="2" t="s">
        <v>11</v>
      </c>
      <c r="F35" s="2" t="s">
        <v>12</v>
      </c>
      <c r="G35" s="2">
        <v>2</v>
      </c>
      <c r="H35" s="2">
        <v>50000</v>
      </c>
      <c r="I35" s="2">
        <v>100000</v>
      </c>
      <c r="L35" s="1" t="s">
        <v>0</v>
      </c>
      <c r="M35" s="1" t="s">
        <v>1</v>
      </c>
      <c r="N35" s="1" t="s">
        <v>2</v>
      </c>
      <c r="O35" s="1" t="s">
        <v>3</v>
      </c>
      <c r="P35" s="1" t="s">
        <v>4</v>
      </c>
      <c r="Q35" s="1" t="s">
        <v>5</v>
      </c>
      <c r="R35" s="1" t="s">
        <v>6</v>
      </c>
      <c r="S35" s="1" t="s">
        <v>7</v>
      </c>
      <c r="T35" s="1" t="s">
        <v>8</v>
      </c>
      <c r="V35" s="2" t="s">
        <v>14</v>
      </c>
    </row>
    <row r="36" spans="1:22" ht="29" x14ac:dyDescent="0.35">
      <c r="A36" s="2">
        <v>1005</v>
      </c>
      <c r="B36" s="3">
        <v>45309</v>
      </c>
      <c r="C36" s="2" t="s">
        <v>9</v>
      </c>
      <c r="D36" s="2" t="s">
        <v>10</v>
      </c>
      <c r="E36" s="2" t="s">
        <v>15</v>
      </c>
      <c r="F36" s="2" t="s">
        <v>12</v>
      </c>
      <c r="G36" s="2">
        <v>4</v>
      </c>
      <c r="H36" s="2">
        <v>20000</v>
      </c>
      <c r="I36" s="2">
        <v>80000</v>
      </c>
      <c r="L36" s="2">
        <v>1002</v>
      </c>
      <c r="M36" s="3">
        <v>45299</v>
      </c>
      <c r="N36" s="2" t="s">
        <v>13</v>
      </c>
      <c r="O36" s="2" t="s">
        <v>14</v>
      </c>
      <c r="P36" s="2" t="s">
        <v>15</v>
      </c>
      <c r="Q36" s="2" t="s">
        <v>12</v>
      </c>
      <c r="R36" s="2">
        <v>5</v>
      </c>
      <c r="S36" s="2">
        <v>20000</v>
      </c>
      <c r="T36" s="2">
        <v>100000</v>
      </c>
    </row>
    <row r="37" spans="1:22" ht="29" x14ac:dyDescent="0.35">
      <c r="A37" s="2">
        <v>1009</v>
      </c>
      <c r="B37" s="3">
        <v>45324</v>
      </c>
      <c r="C37" s="2" t="s">
        <v>9</v>
      </c>
      <c r="D37" s="2" t="s">
        <v>10</v>
      </c>
      <c r="E37" s="2" t="s">
        <v>22</v>
      </c>
      <c r="F37" s="2" t="s">
        <v>19</v>
      </c>
      <c r="G37" s="2">
        <v>5</v>
      </c>
      <c r="H37" s="2">
        <v>7000</v>
      </c>
      <c r="I37" s="2">
        <v>35000</v>
      </c>
      <c r="L37" s="2">
        <v>1006</v>
      </c>
      <c r="M37" s="3">
        <v>45311</v>
      </c>
      <c r="N37" s="2" t="s">
        <v>13</v>
      </c>
      <c r="O37" s="2" t="s">
        <v>14</v>
      </c>
      <c r="P37" s="2" t="s">
        <v>11</v>
      </c>
      <c r="Q37" s="2" t="s">
        <v>12</v>
      </c>
      <c r="R37" s="2">
        <v>1</v>
      </c>
      <c r="S37" s="2">
        <v>50000</v>
      </c>
      <c r="T37" s="2">
        <v>50000</v>
      </c>
    </row>
    <row r="38" spans="1:22" x14ac:dyDescent="0.35">
      <c r="S38" t="s">
        <v>48</v>
      </c>
      <c r="T38">
        <f>SUM(T36:T37)</f>
        <v>150000</v>
      </c>
    </row>
    <row r="39" spans="1:22" x14ac:dyDescent="0.3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  <c r="G39" s="1" t="s">
        <v>6</v>
      </c>
      <c r="H39" s="1" t="s">
        <v>7</v>
      </c>
      <c r="I39" s="1" t="s">
        <v>8</v>
      </c>
    </row>
    <row r="40" spans="1:22" ht="29" x14ac:dyDescent="0.35">
      <c r="A40" s="2">
        <v>1001</v>
      </c>
      <c r="B40" s="3">
        <v>45296</v>
      </c>
      <c r="C40" s="2" t="s">
        <v>9</v>
      </c>
      <c r="D40" s="2" t="s">
        <v>10</v>
      </c>
      <c r="E40" s="2" t="s">
        <v>11</v>
      </c>
      <c r="F40" s="2" t="s">
        <v>12</v>
      </c>
      <c r="G40" s="2">
        <v>2</v>
      </c>
      <c r="H40" s="2">
        <v>50000</v>
      </c>
      <c r="I40" s="2">
        <v>100000</v>
      </c>
      <c r="L40" s="1" t="s">
        <v>0</v>
      </c>
      <c r="M40" s="1" t="s">
        <v>1</v>
      </c>
      <c r="N40" s="1" t="s">
        <v>2</v>
      </c>
      <c r="O40" s="1" t="s">
        <v>3</v>
      </c>
      <c r="P40" s="1" t="s">
        <v>4</v>
      </c>
      <c r="Q40" s="1" t="s">
        <v>5</v>
      </c>
      <c r="R40" s="1" t="s">
        <v>6</v>
      </c>
      <c r="S40" s="1" t="s">
        <v>7</v>
      </c>
      <c r="T40" s="1" t="s">
        <v>8</v>
      </c>
    </row>
    <row r="41" spans="1:22" ht="29" x14ac:dyDescent="0.35">
      <c r="A41" s="2">
        <v>1002</v>
      </c>
      <c r="B41" s="3">
        <v>45299</v>
      </c>
      <c r="C41" s="2" t="s">
        <v>13</v>
      </c>
      <c r="D41" s="2" t="s">
        <v>14</v>
      </c>
      <c r="E41" s="2" t="s">
        <v>15</v>
      </c>
      <c r="F41" s="2" t="s">
        <v>12</v>
      </c>
      <c r="G41" s="2">
        <v>5</v>
      </c>
      <c r="H41" s="2">
        <v>20000</v>
      </c>
      <c r="I41" s="2">
        <v>100000</v>
      </c>
      <c r="L41" s="2">
        <v>1001</v>
      </c>
      <c r="M41" s="3">
        <v>45296</v>
      </c>
      <c r="N41" s="2" t="s">
        <v>9</v>
      </c>
      <c r="O41" s="2" t="s">
        <v>10</v>
      </c>
      <c r="P41" s="2" t="s">
        <v>11</v>
      </c>
      <c r="Q41" s="2" t="s">
        <v>12</v>
      </c>
      <c r="R41" s="2">
        <v>2</v>
      </c>
      <c r="S41" s="2">
        <v>50000</v>
      </c>
      <c r="T41" s="2">
        <v>100000</v>
      </c>
    </row>
    <row r="42" spans="1:22" ht="29" x14ac:dyDescent="0.35">
      <c r="A42" s="2">
        <v>1003</v>
      </c>
      <c r="B42" s="3">
        <v>45303</v>
      </c>
      <c r="C42" s="2" t="s">
        <v>16</v>
      </c>
      <c r="D42" s="2" t="s">
        <v>17</v>
      </c>
      <c r="E42" s="2" t="s">
        <v>18</v>
      </c>
      <c r="F42" s="2" t="s">
        <v>19</v>
      </c>
      <c r="G42" s="2">
        <v>10</v>
      </c>
      <c r="H42" s="2">
        <v>3000</v>
      </c>
      <c r="I42" s="2">
        <v>30000</v>
      </c>
      <c r="L42" s="2">
        <v>1002</v>
      </c>
      <c r="M42" s="3">
        <v>45299</v>
      </c>
      <c r="N42" s="2" t="s">
        <v>13</v>
      </c>
      <c r="O42" s="2" t="s">
        <v>14</v>
      </c>
      <c r="P42" s="2" t="s">
        <v>15</v>
      </c>
      <c r="Q42" s="2" t="s">
        <v>12</v>
      </c>
      <c r="R42" s="2">
        <v>5</v>
      </c>
      <c r="S42" s="2">
        <v>20000</v>
      </c>
      <c r="T42" s="2">
        <v>100000</v>
      </c>
    </row>
    <row r="43" spans="1:22" x14ac:dyDescent="0.35">
      <c r="A43" s="2">
        <v>1004</v>
      </c>
      <c r="B43" s="3">
        <v>45306</v>
      </c>
      <c r="C43" s="2" t="s">
        <v>20</v>
      </c>
      <c r="D43" s="2" t="s">
        <v>21</v>
      </c>
      <c r="E43" s="2" t="s">
        <v>22</v>
      </c>
      <c r="F43" s="2" t="s">
        <v>19</v>
      </c>
      <c r="G43" s="2">
        <v>3</v>
      </c>
      <c r="H43" s="2">
        <v>7000</v>
      </c>
      <c r="I43" s="2">
        <v>21000</v>
      </c>
      <c r="L43" s="2">
        <v>1003</v>
      </c>
      <c r="M43" s="3">
        <v>45303</v>
      </c>
      <c r="N43" s="2" t="s">
        <v>16</v>
      </c>
      <c r="O43" s="2" t="s">
        <v>17</v>
      </c>
      <c r="P43" s="2" t="s">
        <v>18</v>
      </c>
      <c r="Q43" s="2" t="s">
        <v>19</v>
      </c>
      <c r="R43" s="2">
        <v>10</v>
      </c>
      <c r="S43" s="2">
        <v>3000</v>
      </c>
      <c r="T43" s="2">
        <v>30000</v>
      </c>
    </row>
    <row r="44" spans="1:22" x14ac:dyDescent="0.35">
      <c r="A44" s="2">
        <v>1005</v>
      </c>
      <c r="B44" s="3">
        <v>45309</v>
      </c>
      <c r="C44" s="2" t="s">
        <v>9</v>
      </c>
      <c r="D44" s="2" t="s">
        <v>10</v>
      </c>
      <c r="E44" s="2" t="s">
        <v>15</v>
      </c>
      <c r="F44" s="2" t="s">
        <v>12</v>
      </c>
      <c r="G44" s="2">
        <v>4</v>
      </c>
      <c r="H44" s="2">
        <v>20000</v>
      </c>
      <c r="I44" s="2">
        <v>80000</v>
      </c>
      <c r="L44" s="2">
        <v>1004</v>
      </c>
      <c r="M44" s="3">
        <v>45306</v>
      </c>
      <c r="N44" s="2" t="s">
        <v>20</v>
      </c>
      <c r="O44" s="2" t="s">
        <v>21</v>
      </c>
      <c r="P44" s="2" t="s">
        <v>22</v>
      </c>
      <c r="Q44" s="2" t="s">
        <v>19</v>
      </c>
      <c r="R44" s="2">
        <v>3</v>
      </c>
      <c r="S44" s="2">
        <v>7000</v>
      </c>
      <c r="T44" s="2">
        <v>21000</v>
      </c>
    </row>
    <row r="45" spans="1:22" ht="29" x14ac:dyDescent="0.35">
      <c r="A45" s="2">
        <v>1006</v>
      </c>
      <c r="B45" s="3">
        <v>45311</v>
      </c>
      <c r="C45" s="2" t="s">
        <v>13</v>
      </c>
      <c r="D45" s="2" t="s">
        <v>14</v>
      </c>
      <c r="E45" s="2" t="s">
        <v>11</v>
      </c>
      <c r="F45" s="2" t="s">
        <v>12</v>
      </c>
      <c r="G45" s="2">
        <v>1</v>
      </c>
      <c r="H45" s="2">
        <v>50000</v>
      </c>
      <c r="I45" s="2">
        <v>50000</v>
      </c>
      <c r="L45" s="2">
        <v>1005</v>
      </c>
      <c r="M45" s="3">
        <v>45309</v>
      </c>
      <c r="N45" s="2" t="s">
        <v>9</v>
      </c>
      <c r="O45" s="2" t="s">
        <v>10</v>
      </c>
      <c r="P45" s="2" t="s">
        <v>15</v>
      </c>
      <c r="Q45" s="2" t="s">
        <v>12</v>
      </c>
      <c r="R45" s="2">
        <v>4</v>
      </c>
      <c r="S45" s="2">
        <v>20000</v>
      </c>
      <c r="T45" s="2">
        <v>80000</v>
      </c>
    </row>
    <row r="46" spans="1:22" ht="29" x14ac:dyDescent="0.35">
      <c r="A46" s="2">
        <v>1007</v>
      </c>
      <c r="B46" s="3">
        <v>45316</v>
      </c>
      <c r="C46" s="2" t="s">
        <v>16</v>
      </c>
      <c r="D46" s="2" t="s">
        <v>17</v>
      </c>
      <c r="E46" s="2" t="s">
        <v>23</v>
      </c>
      <c r="F46" s="2" t="s">
        <v>19</v>
      </c>
      <c r="G46" s="2">
        <v>2</v>
      </c>
      <c r="H46" s="2">
        <v>10000</v>
      </c>
      <c r="I46" s="2">
        <v>20000</v>
      </c>
      <c r="L46" s="2">
        <v>1006</v>
      </c>
      <c r="M46" s="3">
        <v>45311</v>
      </c>
      <c r="N46" s="2" t="s">
        <v>13</v>
      </c>
      <c r="O46" s="2" t="s">
        <v>14</v>
      </c>
      <c r="P46" s="2" t="s">
        <v>11</v>
      </c>
      <c r="Q46" s="2" t="s">
        <v>12</v>
      </c>
      <c r="R46" s="2">
        <v>1</v>
      </c>
      <c r="S46" s="2">
        <v>50000</v>
      </c>
      <c r="T46" s="2">
        <v>50000</v>
      </c>
    </row>
    <row r="47" spans="1:22" x14ac:dyDescent="0.35">
      <c r="A47" s="2">
        <v>1008</v>
      </c>
      <c r="B47" s="3">
        <v>45319</v>
      </c>
      <c r="C47" s="2" t="s">
        <v>20</v>
      </c>
      <c r="D47" s="2" t="s">
        <v>21</v>
      </c>
      <c r="E47" s="2" t="s">
        <v>15</v>
      </c>
      <c r="F47" s="2" t="s">
        <v>12</v>
      </c>
      <c r="G47" s="2">
        <v>6</v>
      </c>
      <c r="H47" s="2">
        <v>20000</v>
      </c>
      <c r="I47" s="2">
        <v>120000</v>
      </c>
      <c r="L47" s="2">
        <v>1007</v>
      </c>
      <c r="M47" s="3">
        <v>45316</v>
      </c>
      <c r="N47" s="2" t="s">
        <v>16</v>
      </c>
      <c r="O47" s="2" t="s">
        <v>17</v>
      </c>
      <c r="P47" s="2" t="s">
        <v>23</v>
      </c>
      <c r="Q47" s="2" t="s">
        <v>19</v>
      </c>
      <c r="R47" s="2">
        <v>2</v>
      </c>
      <c r="S47" s="2">
        <v>10000</v>
      </c>
      <c r="T47" s="2">
        <v>20000</v>
      </c>
    </row>
    <row r="48" spans="1:22" ht="29" x14ac:dyDescent="0.35">
      <c r="A48" s="2">
        <v>1009</v>
      </c>
      <c r="B48" s="3">
        <v>45324</v>
      </c>
      <c r="C48" s="2" t="s">
        <v>9</v>
      </c>
      <c r="D48" s="2" t="s">
        <v>10</v>
      </c>
      <c r="E48" s="2" t="s">
        <v>22</v>
      </c>
      <c r="F48" s="2" t="s">
        <v>19</v>
      </c>
      <c r="G48" s="2">
        <v>5</v>
      </c>
      <c r="H48" s="2">
        <v>7000</v>
      </c>
      <c r="I48" s="2">
        <v>35000</v>
      </c>
      <c r="L48" s="2">
        <v>1008</v>
      </c>
      <c r="M48" s="3">
        <v>45319</v>
      </c>
      <c r="N48" s="2" t="s">
        <v>20</v>
      </c>
      <c r="O48" s="2" t="s">
        <v>21</v>
      </c>
      <c r="P48" s="2" t="s">
        <v>15</v>
      </c>
      <c r="Q48" s="2" t="s">
        <v>12</v>
      </c>
      <c r="R48" s="2">
        <v>6</v>
      </c>
      <c r="S48" s="2">
        <v>20000</v>
      </c>
      <c r="T48" s="2">
        <v>120000</v>
      </c>
    </row>
    <row r="49" spans="1:22" x14ac:dyDescent="0.35">
      <c r="A49" s="2">
        <v>1010</v>
      </c>
      <c r="B49" s="3">
        <v>45327</v>
      </c>
      <c r="C49" s="2" t="s">
        <v>13</v>
      </c>
      <c r="D49" s="2" t="s">
        <v>14</v>
      </c>
      <c r="E49" s="2" t="s">
        <v>18</v>
      </c>
      <c r="F49" s="2" t="s">
        <v>19</v>
      </c>
      <c r="G49" s="2">
        <v>7</v>
      </c>
      <c r="H49" s="2">
        <v>3000</v>
      </c>
      <c r="I49" s="2">
        <v>21000</v>
      </c>
      <c r="L49" s="2">
        <v>1009</v>
      </c>
      <c r="M49" s="3">
        <v>45324</v>
      </c>
      <c r="N49" s="2" t="s">
        <v>9</v>
      </c>
      <c r="O49" s="2" t="s">
        <v>10</v>
      </c>
      <c r="P49" s="2" t="s">
        <v>22</v>
      </c>
      <c r="Q49" s="2" t="s">
        <v>19</v>
      </c>
      <c r="R49" s="2">
        <v>5</v>
      </c>
      <c r="S49" s="2">
        <v>7000</v>
      </c>
      <c r="T49" s="2">
        <v>35000</v>
      </c>
    </row>
    <row r="50" spans="1:22" x14ac:dyDescent="0.35">
      <c r="A50">
        <f>COUNT(A40:A49)</f>
        <v>10</v>
      </c>
      <c r="H50" t="s">
        <v>42</v>
      </c>
      <c r="I50">
        <f>SUM(I40:I49)</f>
        <v>577000</v>
      </c>
      <c r="L50" s="2">
        <v>1010</v>
      </c>
      <c r="M50" s="3">
        <v>45327</v>
      </c>
      <c r="N50" s="2" t="s">
        <v>13</v>
      </c>
      <c r="O50" s="2" t="s">
        <v>14</v>
      </c>
      <c r="P50" s="2" t="s">
        <v>18</v>
      </c>
      <c r="Q50" s="2" t="s">
        <v>19</v>
      </c>
      <c r="R50" s="2">
        <v>7</v>
      </c>
      <c r="S50" s="2">
        <v>3000</v>
      </c>
      <c r="T50" s="2">
        <v>21000</v>
      </c>
    </row>
    <row r="51" spans="1:22" x14ac:dyDescent="0.35">
      <c r="F51" s="6" t="s">
        <v>45</v>
      </c>
      <c r="G51">
        <f>SUM(G40:G50)</f>
        <v>45</v>
      </c>
      <c r="H51" t="s">
        <v>43</v>
      </c>
      <c r="I51">
        <f>I50/A50</f>
        <v>57700</v>
      </c>
    </row>
    <row r="52" spans="1:22" x14ac:dyDescent="0.35">
      <c r="J52" s="1" t="s">
        <v>5</v>
      </c>
    </row>
    <row r="53" spans="1:22" x14ac:dyDescent="0.35">
      <c r="A53" s="1" t="s">
        <v>0</v>
      </c>
      <c r="B53" s="1" t="s">
        <v>1</v>
      </c>
      <c r="C53" s="1" t="s">
        <v>2</v>
      </c>
      <c r="D53" s="1" t="s">
        <v>3</v>
      </c>
      <c r="E53" s="1" t="s">
        <v>4</v>
      </c>
      <c r="F53" s="1" t="s">
        <v>5</v>
      </c>
      <c r="G53" s="1" t="s">
        <v>6</v>
      </c>
      <c r="H53" s="1" t="s">
        <v>7</v>
      </c>
      <c r="I53" s="1" t="s">
        <v>8</v>
      </c>
      <c r="J53" s="2" t="s">
        <v>19</v>
      </c>
    </row>
    <row r="54" spans="1:22" x14ac:dyDescent="0.35">
      <c r="A54" s="2">
        <v>1009</v>
      </c>
      <c r="B54" s="3">
        <v>45324</v>
      </c>
      <c r="C54" s="2" t="s">
        <v>9</v>
      </c>
      <c r="D54" s="2" t="s">
        <v>10</v>
      </c>
      <c r="E54" s="2" t="s">
        <v>22</v>
      </c>
      <c r="F54" s="2" t="s">
        <v>19</v>
      </c>
      <c r="G54" s="2">
        <v>5</v>
      </c>
      <c r="H54" s="2">
        <v>7000</v>
      </c>
      <c r="I54" s="2">
        <v>35000</v>
      </c>
    </row>
    <row r="55" spans="1:22" x14ac:dyDescent="0.35">
      <c r="A55" s="2">
        <v>1003</v>
      </c>
      <c r="B55" s="3">
        <v>45303</v>
      </c>
      <c r="C55" s="2" t="s">
        <v>16</v>
      </c>
      <c r="D55" s="2" t="s">
        <v>17</v>
      </c>
      <c r="E55" s="2" t="s">
        <v>18</v>
      </c>
      <c r="F55" s="2" t="s">
        <v>19</v>
      </c>
      <c r="G55" s="2">
        <v>10</v>
      </c>
      <c r="H55" s="2">
        <v>3000</v>
      </c>
      <c r="I55" s="2">
        <v>30000</v>
      </c>
    </row>
    <row r="56" spans="1:22" x14ac:dyDescent="0.35">
      <c r="A56" s="2">
        <v>1004</v>
      </c>
      <c r="B56" s="3">
        <v>45306</v>
      </c>
      <c r="C56" s="2" t="s">
        <v>20</v>
      </c>
      <c r="D56" s="2" t="s">
        <v>21</v>
      </c>
      <c r="E56" s="2" t="s">
        <v>22</v>
      </c>
      <c r="F56" s="2" t="s">
        <v>19</v>
      </c>
      <c r="G56" s="2">
        <v>3</v>
      </c>
      <c r="H56" s="2">
        <v>7000</v>
      </c>
      <c r="I56" s="2">
        <v>21000</v>
      </c>
    </row>
    <row r="57" spans="1:22" x14ac:dyDescent="0.35">
      <c r="A57" s="2">
        <v>1010</v>
      </c>
      <c r="B57" s="3">
        <v>45327</v>
      </c>
      <c r="C57" s="2" t="s">
        <v>13</v>
      </c>
      <c r="D57" s="2" t="s">
        <v>14</v>
      </c>
      <c r="E57" s="2" t="s">
        <v>18</v>
      </c>
      <c r="F57" s="2" t="s">
        <v>19</v>
      </c>
      <c r="G57" s="2">
        <v>7</v>
      </c>
      <c r="H57" s="2">
        <v>3000</v>
      </c>
      <c r="I57" s="2">
        <v>21000</v>
      </c>
    </row>
    <row r="58" spans="1:22" x14ac:dyDescent="0.35">
      <c r="A58" s="2">
        <v>1007</v>
      </c>
      <c r="B58" s="3">
        <v>45316</v>
      </c>
      <c r="C58" s="2" t="s">
        <v>16</v>
      </c>
      <c r="D58" s="2" t="s">
        <v>17</v>
      </c>
      <c r="E58" s="2" t="s">
        <v>23</v>
      </c>
      <c r="F58" s="2" t="s">
        <v>19</v>
      </c>
      <c r="G58" s="2">
        <v>2</v>
      </c>
      <c r="H58" s="2">
        <v>10000</v>
      </c>
      <c r="I58" s="2">
        <v>20000</v>
      </c>
    </row>
    <row r="59" spans="1:22" x14ac:dyDescent="0.35">
      <c r="F59" s="7" t="s">
        <v>46</v>
      </c>
      <c r="G59">
        <f>SUM(G54:G58)</f>
        <v>27</v>
      </c>
    </row>
    <row r="60" spans="1:22" x14ac:dyDescent="0.35">
      <c r="J60" s="1" t="s">
        <v>5</v>
      </c>
    </row>
    <row r="61" spans="1:22" ht="29" x14ac:dyDescent="0.35">
      <c r="A61" s="1" t="s">
        <v>0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1" t="s">
        <v>7</v>
      </c>
      <c r="I61" s="1" t="s">
        <v>8</v>
      </c>
      <c r="J61" s="2" t="s">
        <v>12</v>
      </c>
      <c r="L61" s="1" t="s">
        <v>0</v>
      </c>
      <c r="M61" s="1" t="s">
        <v>1</v>
      </c>
      <c r="N61" s="1" t="s">
        <v>2</v>
      </c>
      <c r="O61" s="1" t="s">
        <v>3</v>
      </c>
      <c r="P61" s="1" t="s">
        <v>4</v>
      </c>
      <c r="Q61" s="1" t="s">
        <v>5</v>
      </c>
      <c r="R61" s="1" t="s">
        <v>6</v>
      </c>
      <c r="S61" s="1" t="s">
        <v>7</v>
      </c>
      <c r="T61" s="1" t="s">
        <v>8</v>
      </c>
      <c r="V61" s="8" t="s">
        <v>50</v>
      </c>
    </row>
    <row r="62" spans="1:22" ht="29" x14ac:dyDescent="0.35">
      <c r="A62" s="2">
        <v>1008</v>
      </c>
      <c r="B62" s="3">
        <v>45319</v>
      </c>
      <c r="C62" s="2" t="s">
        <v>20</v>
      </c>
      <c r="D62" s="2" t="s">
        <v>21</v>
      </c>
      <c r="E62" s="2" t="s">
        <v>15</v>
      </c>
      <c r="F62" s="2" t="s">
        <v>12</v>
      </c>
      <c r="G62" s="2">
        <v>6</v>
      </c>
      <c r="H62" s="2">
        <v>20000</v>
      </c>
      <c r="I62" s="2">
        <v>120000</v>
      </c>
      <c r="L62" s="2">
        <v>1008</v>
      </c>
      <c r="M62" s="3">
        <v>45319</v>
      </c>
      <c r="N62" s="2" t="s">
        <v>20</v>
      </c>
      <c r="O62" s="2" t="s">
        <v>21</v>
      </c>
      <c r="P62" s="2" t="s">
        <v>15</v>
      </c>
      <c r="Q62" s="2" t="s">
        <v>12</v>
      </c>
      <c r="R62" s="2">
        <v>6</v>
      </c>
      <c r="S62" s="2">
        <v>20000</v>
      </c>
      <c r="T62" s="2">
        <v>120000</v>
      </c>
      <c r="V62" t="s">
        <v>49</v>
      </c>
    </row>
    <row r="63" spans="1:22" ht="29" x14ac:dyDescent="0.35">
      <c r="A63" s="2">
        <v>1001</v>
      </c>
      <c r="B63" s="3">
        <v>45296</v>
      </c>
      <c r="C63" s="2" t="s">
        <v>9</v>
      </c>
      <c r="D63" s="2" t="s">
        <v>10</v>
      </c>
      <c r="E63" s="2" t="s">
        <v>11</v>
      </c>
      <c r="F63" s="2" t="s">
        <v>12</v>
      </c>
      <c r="G63" s="2">
        <v>2</v>
      </c>
      <c r="H63" s="2">
        <v>50000</v>
      </c>
      <c r="I63" s="2">
        <v>100000</v>
      </c>
      <c r="L63" s="2">
        <v>1002</v>
      </c>
      <c r="M63" s="3">
        <v>45299</v>
      </c>
      <c r="N63" s="2" t="s">
        <v>13</v>
      </c>
      <c r="O63" s="2" t="s">
        <v>14</v>
      </c>
      <c r="P63" s="2" t="s">
        <v>15</v>
      </c>
      <c r="Q63" s="2" t="s">
        <v>12</v>
      </c>
      <c r="R63" s="2">
        <v>5</v>
      </c>
      <c r="S63" s="2">
        <v>20000</v>
      </c>
      <c r="T63" s="2">
        <v>100000</v>
      </c>
    </row>
    <row r="64" spans="1:22" ht="29" x14ac:dyDescent="0.35">
      <c r="A64" s="2">
        <v>1002</v>
      </c>
      <c r="B64" s="3">
        <v>45299</v>
      </c>
      <c r="C64" s="2" t="s">
        <v>13</v>
      </c>
      <c r="D64" s="2" t="s">
        <v>14</v>
      </c>
      <c r="E64" s="2" t="s">
        <v>15</v>
      </c>
      <c r="F64" s="2" t="s">
        <v>12</v>
      </c>
      <c r="G64" s="2">
        <v>5</v>
      </c>
      <c r="H64" s="2">
        <v>20000</v>
      </c>
      <c r="I64" s="2">
        <v>100000</v>
      </c>
      <c r="L64" s="2">
        <v>1005</v>
      </c>
      <c r="M64" s="3">
        <v>45309</v>
      </c>
      <c r="N64" s="2" t="s">
        <v>9</v>
      </c>
      <c r="O64" s="2" t="s">
        <v>10</v>
      </c>
      <c r="P64" s="2" t="s">
        <v>15</v>
      </c>
      <c r="Q64" s="2" t="s">
        <v>12</v>
      </c>
      <c r="R64" s="2">
        <v>4</v>
      </c>
      <c r="S64" s="2">
        <v>20000</v>
      </c>
      <c r="T64" s="2">
        <v>80000</v>
      </c>
    </row>
    <row r="65" spans="1:9" x14ac:dyDescent="0.35">
      <c r="A65" s="2">
        <v>1005</v>
      </c>
      <c r="B65" s="3">
        <v>45309</v>
      </c>
      <c r="C65" s="2" t="s">
        <v>9</v>
      </c>
      <c r="D65" s="2" t="s">
        <v>10</v>
      </c>
      <c r="E65" s="2" t="s">
        <v>15</v>
      </c>
      <c r="F65" s="2" t="s">
        <v>12</v>
      </c>
      <c r="G65" s="2">
        <v>4</v>
      </c>
      <c r="H65" s="2">
        <v>20000</v>
      </c>
      <c r="I65" s="2">
        <v>80000</v>
      </c>
    </row>
    <row r="66" spans="1:9" x14ac:dyDescent="0.35">
      <c r="A66" s="2">
        <v>1006</v>
      </c>
      <c r="B66" s="3">
        <v>45311</v>
      </c>
      <c r="C66" s="2" t="s">
        <v>13</v>
      </c>
      <c r="D66" s="2" t="s">
        <v>14</v>
      </c>
      <c r="E66" s="2" t="s">
        <v>11</v>
      </c>
      <c r="F66" s="2" t="s">
        <v>12</v>
      </c>
      <c r="G66" s="2">
        <v>1</v>
      </c>
      <c r="H66" s="2">
        <v>50000</v>
      </c>
      <c r="I66" s="2">
        <v>50000</v>
      </c>
    </row>
    <row r="67" spans="1:9" x14ac:dyDescent="0.35">
      <c r="H67" t="s">
        <v>42</v>
      </c>
      <c r="I67">
        <f>SUM(I62:I66)</f>
        <v>450000</v>
      </c>
    </row>
  </sheetData>
  <sortState xmlns:xlrd2="http://schemas.microsoft.com/office/spreadsheetml/2017/richdata2" ref="A15:I24">
    <sortCondition descending="1" ref="I15:I24"/>
  </sortState>
  <conditionalFormatting sqref="T41:T50">
    <cfRule type="cellIs" dxfId="2" priority="3" operator="greaterThan">
      <formula>100000</formula>
    </cfRule>
  </conditionalFormatting>
  <conditionalFormatting sqref="R41:R50">
    <cfRule type="cellIs" dxfId="1" priority="1" operator="lessThan">
      <formula>3</formula>
    </cfRule>
    <cfRule type="cellIs" dxfId="0" priority="2" operator="lessThan">
      <formula>3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Pralay Jana</cp:lastModifiedBy>
  <cp:lastPrinted>2026-03-04T20:23:12Z</cp:lastPrinted>
  <dcterms:created xsi:type="dcterms:W3CDTF">2026-03-04T02:35:16Z</dcterms:created>
  <dcterms:modified xsi:type="dcterms:W3CDTF">2026-03-04T20:26:10Z</dcterms:modified>
</cp:coreProperties>
</file>