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la\Downloads\"/>
    </mc:Choice>
  </mc:AlternateContent>
  <xr:revisionPtr revIDLastSave="0" documentId="13_ncr:1_{7077EB54-393E-4E02-8EED-D62992E781D6}" xr6:coauthVersionLast="47" xr6:coauthVersionMax="47" xr10:uidLastSave="{00000000-0000-0000-0000-000000000000}"/>
  <bookViews>
    <workbookView xWindow="-110" yWindow="-110" windowWidth="19420" windowHeight="10300" activeTab="1" xr2:uid="{2CE48592-67DA-4AFC-90C2-FAB71330BA3E}"/>
  </bookViews>
  <sheets>
    <sheet name="Sheet1" sheetId="1" r:id="rId1"/>
    <sheet name="Sheet2" sheetId="2" r:id="rId2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9" i="1" l="1"/>
  <c r="U21" i="1"/>
  <c r="U17" i="1"/>
  <c r="V10" i="1"/>
  <c r="U8" i="1"/>
  <c r="H2" i="2"/>
  <c r="H3" i="2"/>
  <c r="H4" i="2"/>
  <c r="H5" i="2"/>
  <c r="H6" i="2"/>
  <c r="V14" i="1"/>
  <c r="V46" i="1"/>
  <c r="V45" i="1"/>
  <c r="AA44" i="1"/>
  <c r="G2" i="2" a="1"/>
  <c r="G2" i="2"/>
  <c r="G3" i="2" a="1"/>
  <c r="G3" i="2" s="1"/>
  <c r="G4" i="2" a="1"/>
  <c r="G4" i="2"/>
  <c r="G5" i="2" a="1"/>
  <c r="G5" i="2" s="1"/>
  <c r="G6" i="2" a="1"/>
  <c r="G6" i="2"/>
  <c r="F2" i="2"/>
  <c r="E3" i="2"/>
  <c r="F3" i="2" s="1"/>
  <c r="E4" i="2"/>
  <c r="F4" i="2" s="1"/>
  <c r="E5" i="2"/>
  <c r="F5" i="2" s="1"/>
  <c r="E6" i="2"/>
  <c r="F6" i="2" s="1"/>
  <c r="E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2" i="1" s="1" a="1"/>
  <c r="Q2" i="1" s="1"/>
  <c r="Q10" i="1" a="1"/>
  <c r="Q10" i="1" s="1"/>
  <c r="Q3" i="1" s="1" a="1"/>
  <c r="Q3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 s="1"/>
  <c r="Q339" i="1" a="1"/>
  <c r="Q339" i="1" s="1"/>
  <c r="Q340" i="1" a="1"/>
  <c r="Q340" i="1"/>
  <c r="Q341" i="1" a="1"/>
  <c r="Q341" i="1" s="1"/>
  <c r="Q342" i="1" a="1"/>
  <c r="Q342" i="1" s="1"/>
  <c r="Q343" i="1" a="1"/>
  <c r="Q343" i="1" s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" i="1"/>
  <c r="P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<sst xmlns="http://schemas.openxmlformats.org/spreadsheetml/2006/main" count="2709" uniqueCount="99">
  <si>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</si>
  <si>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</si>
  <si>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</si>
  <si>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</si>
  <si>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</si>
  <si>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</si>
  <si>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</si>
  <si>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</si>
  <si>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</si>
  <si>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</si>
  <si>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</si>
  <si>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</si>
  <si>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</si>
  <si>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</si>
  <si>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</si>
  <si>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</si>
  <si>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</si>
  <si>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</si>
  <si>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</si>
  <si>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</si>
  <si>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</si>
  <si>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</si>
  <si>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</si>
  <si>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</si>
  <si>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</si>
  <si>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</si>
  <si>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</si>
  <si>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</si>
  <si>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</si>
  <si>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</si>
  <si>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</si>
  <si>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</si>
  <si>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</si>
  <si>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</si>
  <si>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</si>
  <si>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</si>
  <si>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</si>
  <si>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</si>
  <si>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</si>
  <si>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</si>
  <si>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</si>
  <si>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</si>
  <si>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</si>
  <si>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</si>
  <si>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</si>
  <si>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</si>
  <si>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</si>
  <si>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</si>
  <si>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</si>
  <si>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</si>
  <si>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</si>
  <si>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</si>
  <si>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</si>
  <si>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</si>
  <si>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</si>
  <si>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</si>
  <si>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</si>
  <si>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</si>
  <si>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</si>
  <si>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</si>
  <si>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</si>
  <si>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</si>
  <si>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</si>
  <si>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</si>
  <si>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</si>
  <si>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</si>
  <si>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</si>
  <si>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</si>
  <si>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</si>
  <si>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</si>
  <si>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price category</t>
  </si>
  <si>
    <t>discount category</t>
  </si>
  <si>
    <t>unit</t>
  </si>
  <si>
    <t>name</t>
  </si>
  <si>
    <t>sub1</t>
  </si>
  <si>
    <t>sub2</t>
  </si>
  <si>
    <t>sub3</t>
  </si>
  <si>
    <t>total</t>
  </si>
  <si>
    <t>average</t>
  </si>
  <si>
    <t>grade</t>
  </si>
  <si>
    <t>kji</t>
  </si>
  <si>
    <t>subha</t>
  </si>
  <si>
    <t>git</t>
  </si>
  <si>
    <t>kunal</t>
  </si>
  <si>
    <t>pralay</t>
  </si>
  <si>
    <t>branda</t>
  </si>
  <si>
    <t>total unit sold</t>
  </si>
  <si>
    <t>brand name</t>
  </si>
  <si>
    <t>product category</t>
  </si>
  <si>
    <t>TOTAl unit sold</t>
  </si>
  <si>
    <t>unit price</t>
  </si>
  <si>
    <t>avarge unit price</t>
  </si>
  <si>
    <t>producr catag</t>
  </si>
  <si>
    <t>average unit price</t>
  </si>
  <si>
    <t>count blank</t>
  </si>
  <si>
    <t>product row</t>
  </si>
  <si>
    <t>count brand A</t>
  </si>
  <si>
    <t>count</t>
  </si>
  <si>
    <t>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</si>
</sst>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AF373"/>
  <sheetViews>
    <sheetView topLeftCell="G1" zoomScale="61" zoomScaleNormal="71" workbookViewId="0">
      <selection activeCell="AA48" sqref="AA48"/>
    </sheetView>
  </sheetViews>
  <sheetFormatPr defaultRowHeight="14.5" x14ac:dyDescent="0.35"/>
  <cols>
    <col min="1" max="1" width="7.90625" bestFit="1" customWidth="1"/>
    <col min="2" max="2" width="11.08984375" bestFit="1" customWidth="1"/>
    <col min="3" max="4" width="10.36328125" bestFit="1" customWidth="1"/>
    <col min="5" max="5" width="9.81640625" bestFit="1" customWidth="1"/>
    <col min="6" max="6" width="11.453125" bestFit="1" customWidth="1"/>
    <col min="7" max="7" width="12.08984375" bestFit="1" customWidth="1"/>
    <col min="8" max="8" width="15.08984375" bestFit="1" customWidth="1"/>
    <col min="9" max="9" width="15.1796875" bestFit="1" customWidth="1"/>
    <col min="10" max="10" width="12.6328125" bestFit="1" customWidth="1"/>
    <col min="11" max="11" width="7" bestFit="1" customWidth="1"/>
    <col min="12" max="12" width="9.08984375" bestFit="1" customWidth="1"/>
    <col min="14" max="14" width="10" bestFit="1" customWidth="1"/>
    <col min="15" max="15" width="9.453125" customWidth="1"/>
    <col min="16" max="16" width="12.453125" customWidth="1"/>
    <col min="17" max="17" width="15.6328125" customWidth="1"/>
    <col min="20" max="20" width="14.54296875" customWidth="1"/>
    <col min="21" max="21" width="14.08984375" customWidth="1"/>
    <col min="22" max="22" width="15.26953125" customWidth="1"/>
    <col min="23" max="23" width="10.6328125" customWidth="1"/>
    <col min="26" max="26" width="9.81640625" bestFit="1" customWidth="1"/>
    <col min="27" max="27" width="16.81640625" customWidth="1"/>
    <col min="28" max="28" width="13.08984375" customWidth="1"/>
    <col min="29" max="29" width="17.54296875" customWidth="1"/>
  </cols>
  <sheetData>
    <row r="1" spans="1:22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69</v>
      </c>
      <c r="P1" s="4" t="s">
        <v>70</v>
      </c>
      <c r="Q1" s="4" t="s">
        <v>71</v>
      </c>
      <c r="R1" s="4" t="s">
        <v>72</v>
      </c>
    </row>
    <row r="2" spans="1:22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M2*L2</f>
        <v>19907.09</v>
      </c>
      <c r="P2" t="str">
        <f>IF(O2&gt;=15000,"High price","Low price")</f>
        <v>High price</v>
      </c>
      <c r="Q2" t="str" cm="1">
        <f t="array" ref="Q2">_xlfn.IFS(N2&gt;Q9=10,"high",N2&gt;=5,"midum",N2&lt;5,"low")</f>
        <v>low</v>
      </c>
      <c r="R2" t="str">
        <f>IF(L2&gt;8,"high",IF(L2&gt;4,"midum","low"))</f>
        <v>midum</v>
      </c>
    </row>
    <row r="3" spans="1:22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M3*L3</f>
        <v>22727.07</v>
      </c>
      <c r="P3" t="str">
        <f>IF(O3&gt;=15000,"High price","Low price")</f>
        <v>High price</v>
      </c>
      <c r="Q3" t="str" cm="1">
        <f t="array" ref="Q3">_xlfn.IFS(N3&gt;Q10=10,"high",N3&gt;=5,"midum",N3&lt;5,"low")</f>
        <v>midum</v>
      </c>
      <c r="R3" t="str">
        <f t="shared" ref="R3:R66" si="1">IF(L3&gt;8,"high",IF(L3&gt;4,"midum","low"))</f>
        <v>high</v>
      </c>
    </row>
    <row r="4" spans="1:22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t="str">
        <f t="shared" ref="P4:P66" si="2">IF(O4&gt;=15000,"High price","Low price")</f>
        <v>High price</v>
      </c>
      <c r="Q4" t="str" cm="1">
        <f t="array" ref="Q4">_xlfn.IFS(N4&gt;=10,"high",N4&gt;=5,"midum",N4&lt;5,"low")</f>
        <v>high</v>
      </c>
      <c r="R4" t="str">
        <f t="shared" si="1"/>
        <v>midum</v>
      </c>
    </row>
    <row r="5" spans="1:22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t="str">
        <f t="shared" si="2"/>
        <v>Low price</v>
      </c>
      <c r="Q5" t="str" cm="1">
        <f t="array" ref="Q5">_xlfn.IFS(N5&gt;=10,"high",N5&gt;=5,"midum",N5&lt;5,"low")</f>
        <v>high</v>
      </c>
      <c r="R5" t="str">
        <f t="shared" si="1"/>
        <v>low</v>
      </c>
    </row>
    <row r="6" spans="1:22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t="str">
        <f t="shared" si="2"/>
        <v>High price</v>
      </c>
      <c r="Q6" t="str" cm="1">
        <f t="array" ref="Q6">_xlfn.IFS(N6&gt;=10,"high",N6&gt;=5,"midum",N6&lt;5,"low")</f>
        <v>high</v>
      </c>
      <c r="R6" t="str">
        <f t="shared" si="1"/>
        <v>midum</v>
      </c>
    </row>
    <row r="7" spans="1:22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t="str">
        <f t="shared" si="2"/>
        <v>Low price</v>
      </c>
      <c r="Q7" t="str" cm="1">
        <f t="array" ref="Q7">_xlfn.IFS(N7&gt;=10,"high",N7&gt;=5,"midum",N7&lt;5,"low")</f>
        <v>high</v>
      </c>
      <c r="R7" t="str">
        <f t="shared" si="1"/>
        <v>low</v>
      </c>
      <c r="T7" s="1"/>
      <c r="U7" s="1"/>
    </row>
    <row r="8" spans="1:22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t="str">
        <f t="shared" si="2"/>
        <v>High price</v>
      </c>
      <c r="Q8" t="str" cm="1">
        <f t="array" ref="Q8">_xlfn.IFS(N8&gt;=10,"high",N8&gt;=5,"midum",N8&lt;5,"low")</f>
        <v>high</v>
      </c>
      <c r="R8" t="str">
        <f t="shared" si="1"/>
        <v>midum</v>
      </c>
      <c r="T8" s="1" t="s">
        <v>77</v>
      </c>
      <c r="U8" s="1">
        <f>SUM(L2:L373)</f>
        <v>1837</v>
      </c>
    </row>
    <row r="9" spans="1:22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t="str">
        <f t="shared" si="2"/>
        <v>Low price</v>
      </c>
      <c r="Q9" t="str" cm="1">
        <f t="array" ref="Q9">_xlfn.IFS(N9&gt;=10,"high",N9&gt;=5,"midum",N9&lt;5,"low")</f>
        <v>high</v>
      </c>
      <c r="R9" t="str">
        <f t="shared" si="1"/>
        <v>low</v>
      </c>
    </row>
    <row r="10" spans="1:22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t="str">
        <f t="shared" si="2"/>
        <v>Low price</v>
      </c>
      <c r="Q10" t="str" cm="1">
        <f t="array" ref="Q10">_xlfn.IFS(N10&gt;=10,"high",N10&gt;=5,"midum",N10&lt;5,"low")</f>
        <v>high</v>
      </c>
      <c r="R10" t="str">
        <f t="shared" si="1"/>
        <v>midum</v>
      </c>
      <c r="T10" s="1" t="s">
        <v>85</v>
      </c>
      <c r="U10" s="1" t="s">
        <v>86</v>
      </c>
      <c r="V10" s="1">
        <f>SUMIF(K2:K373,T10,L2:L373)</f>
        <v>369</v>
      </c>
    </row>
    <row r="11" spans="1:22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t="str">
        <f t="shared" si="2"/>
        <v>Low price</v>
      </c>
      <c r="Q11" t="str" cm="1">
        <f t="array" ref="Q11">_xlfn.IFS(N11&gt;=10,"high",N11&gt;=5,"midum",N11&lt;5,"low")</f>
        <v>high</v>
      </c>
      <c r="R11" t="str">
        <f t="shared" si="1"/>
        <v>midum</v>
      </c>
    </row>
    <row r="12" spans="1:22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t="str">
        <f t="shared" si="2"/>
        <v>High price</v>
      </c>
      <c r="Q12" t="str" cm="1">
        <f t="array" ref="Q12">_xlfn.IFS(N12&gt;=10,"high",N12&gt;=5,"midum",N12&lt;5,"low")</f>
        <v>low</v>
      </c>
      <c r="R12" t="str">
        <f t="shared" si="1"/>
        <v>midum</v>
      </c>
    </row>
    <row r="13" spans="1:22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t="str">
        <f t="shared" si="2"/>
        <v>Low price</v>
      </c>
      <c r="Q13" t="str" cm="1">
        <f t="array" ref="Q13">_xlfn.IFS(N13&gt;=10,"high",N13&gt;=5,"midum",N13&lt;5,"low")</f>
        <v>midum</v>
      </c>
      <c r="R13" t="str">
        <f t="shared" si="1"/>
        <v>midum</v>
      </c>
      <c r="T13" s="1" t="s">
        <v>88</v>
      </c>
      <c r="U13" s="1" t="s">
        <v>87</v>
      </c>
      <c r="V13" s="1" t="s">
        <v>89</v>
      </c>
    </row>
    <row r="14" spans="1:22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t="str">
        <f t="shared" si="2"/>
        <v>High price</v>
      </c>
      <c r="Q14" t="str" cm="1">
        <f t="array" ref="Q14">_xlfn.IFS(N14&gt;=10,"high",N14&gt;=5,"midum",N14&lt;5,"low")</f>
        <v>low</v>
      </c>
      <c r="R14" t="str">
        <f t="shared" si="1"/>
        <v>midum</v>
      </c>
      <c r="T14" s="1" t="s">
        <v>18</v>
      </c>
      <c r="U14" s="1" t="s">
        <v>20</v>
      </c>
      <c r="V14" s="1">
        <f>SUMIFS(L2:L373,I2:I373,T14,K2:K373,U14)</f>
        <v>39</v>
      </c>
    </row>
    <row r="15" spans="1:22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t="str">
        <f t="shared" si="2"/>
        <v>Low price</v>
      </c>
      <c r="Q15" t="str" cm="1">
        <f t="array" ref="Q15">_xlfn.IFS(N15&gt;=10,"high",N15&gt;=5,"midum",N15&lt;5,"low")</f>
        <v>high</v>
      </c>
      <c r="R15" t="str">
        <f t="shared" si="1"/>
        <v>midum</v>
      </c>
    </row>
    <row r="16" spans="1:22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t="str">
        <f t="shared" si="2"/>
        <v>Low price</v>
      </c>
      <c r="Q16" t="str" cm="1">
        <f t="array" ref="Q16">_xlfn.IFS(N16&gt;=10,"high",N16&gt;=5,"midum",N16&lt;5,"low")</f>
        <v>high</v>
      </c>
      <c r="R16" t="str">
        <f t="shared" si="1"/>
        <v>high</v>
      </c>
    </row>
    <row r="17" spans="1:32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t="str">
        <f t="shared" si="2"/>
        <v>Low price</v>
      </c>
      <c r="Q17" t="str" cm="1">
        <f t="array" ref="Q17">_xlfn.IFS(N17&gt;=10,"high",N17&gt;=5,"midum",N17&lt;5,"low")</f>
        <v>midum</v>
      </c>
      <c r="R17" t="str">
        <f t="shared" si="1"/>
        <v>midum</v>
      </c>
      <c r="T17" s="1" t="s">
        <v>90</v>
      </c>
      <c r="U17" s="1">
        <f>AVERAGE(M2:M373)</f>
        <v>2001.1641935483883</v>
      </c>
    </row>
    <row r="18" spans="1:32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t="str">
        <f t="shared" si="2"/>
        <v>Low price</v>
      </c>
      <c r="Q18" t="str" cm="1">
        <f t="array" ref="Q18">_xlfn.IFS(N18&gt;=10,"high",N18&gt;=5,"midum",N18&lt;5,"low")</f>
        <v>high</v>
      </c>
      <c r="R18" t="str">
        <f t="shared" si="1"/>
        <v>low</v>
      </c>
    </row>
    <row r="19" spans="1:32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t="str">
        <f t="shared" si="2"/>
        <v>Low price</v>
      </c>
      <c r="Q19" t="str" cm="1">
        <f t="array" ref="Q19">_xlfn.IFS(N19&gt;=10,"high",N19&gt;=5,"midum",N19&lt;5,"low")</f>
        <v>high</v>
      </c>
      <c r="R19" t="str">
        <f t="shared" si="1"/>
        <v>low</v>
      </c>
      <c r="Y19" s="1" t="s">
        <v>27</v>
      </c>
      <c r="Z19">
        <f>AVERAGEIF(K2:K373,Y19,M2:M373)</f>
        <v>1974.6290163934418</v>
      </c>
    </row>
    <row r="20" spans="1:32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t="str">
        <f t="shared" si="2"/>
        <v>Low price</v>
      </c>
      <c r="Q20" t="str" cm="1">
        <f t="array" ref="Q20">_xlfn.IFS(N20&gt;=10,"high",N20&gt;=5,"midum",N20&lt;5,"low")</f>
        <v>high</v>
      </c>
      <c r="R20" t="str">
        <f t="shared" si="1"/>
        <v>low</v>
      </c>
      <c r="T20" s="1" t="s">
        <v>87</v>
      </c>
      <c r="U20" s="1" t="s">
        <v>91</v>
      </c>
    </row>
    <row r="21" spans="1:32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t="str">
        <f t="shared" si="2"/>
        <v>Low price</v>
      </c>
      <c r="Q21" t="str" cm="1">
        <f t="array" ref="Q21">_xlfn.IFS(N21&gt;=10,"high",N21&gt;=5,"midum",N21&lt;5,"low")</f>
        <v>midum</v>
      </c>
      <c r="R21" t="str">
        <f t="shared" si="1"/>
        <v>low</v>
      </c>
      <c r="T21" s="1" t="s">
        <v>44</v>
      </c>
      <c r="U21" s="1">
        <f>AVERAGEIF(K2:K373,T21,M2:M373)</f>
        <v>1859.1251898734179</v>
      </c>
    </row>
    <row r="22" spans="1:32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t="str">
        <f t="shared" si="2"/>
        <v>Low price</v>
      </c>
      <c r="Q22" t="str" cm="1">
        <f t="array" ref="Q22">_xlfn.IFS(N22&gt;=10,"high",N22&gt;=5,"midum",N22&lt;5,"low")</f>
        <v>midum</v>
      </c>
      <c r="R22" t="str">
        <f t="shared" si="1"/>
        <v>low</v>
      </c>
    </row>
    <row r="23" spans="1:32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t="str">
        <f t="shared" si="2"/>
        <v>Low price</v>
      </c>
      <c r="Q23" t="str" cm="1">
        <f t="array" ref="Q23">_xlfn.IFS(N23&gt;=10,"high",N23&gt;=5,"midum",N23&lt;5,"low")</f>
        <v>high</v>
      </c>
      <c r="R23" t="str">
        <f t="shared" si="1"/>
        <v>midum</v>
      </c>
    </row>
    <row r="24" spans="1:32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t="str">
        <f t="shared" si="2"/>
        <v>Low price</v>
      </c>
      <c r="Q24" t="str" cm="1">
        <f t="array" ref="Q24">_xlfn.IFS(N24&gt;=10,"high",N24&gt;=5,"midum",N24&lt;5,"low")</f>
        <v>high</v>
      </c>
      <c r="R24" t="str">
        <f t="shared" si="1"/>
        <v>low</v>
      </c>
      <c r="T24" s="1" t="s">
        <v>92</v>
      </c>
      <c r="U24" s="1" t="s">
        <v>87</v>
      </c>
      <c r="V24" s="1" t="s">
        <v>93</v>
      </c>
    </row>
    <row r="25" spans="1:32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t="str">
        <f t="shared" si="2"/>
        <v>Low price</v>
      </c>
      <c r="Q25" t="str" cm="1">
        <f t="array" ref="Q25">_xlfn.IFS(N25&gt;=10,"high",N25&gt;=5,"midum",N25&lt;5,"low")</f>
        <v>low</v>
      </c>
      <c r="R25" t="str">
        <f t="shared" si="1"/>
        <v>low</v>
      </c>
      <c r="T25" s="1" t="s">
        <v>18</v>
      </c>
      <c r="U25" s="1" t="s">
        <v>20</v>
      </c>
      <c r="V25" s="1"/>
    </row>
    <row r="26" spans="1:32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t="str">
        <f t="shared" si="2"/>
        <v>High price</v>
      </c>
      <c r="Q26" t="str" cm="1">
        <f t="array" ref="Q26">_xlfn.IFS(N26&gt;=10,"high",N26&gt;=5,"midum",N26&lt;5,"low")</f>
        <v>midum</v>
      </c>
      <c r="R26" t="str">
        <f t="shared" si="1"/>
        <v>midum</v>
      </c>
    </row>
    <row r="27" spans="1:32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t="str">
        <f t="shared" si="2"/>
        <v>Low price</v>
      </c>
      <c r="Q27" t="str" cm="1">
        <f t="array" ref="Q27">_xlfn.IFS(N27&gt;=10,"high",N27&gt;=5,"midum",N27&lt;5,"low")</f>
        <v>midum</v>
      </c>
      <c r="R27" t="str">
        <f t="shared" si="1"/>
        <v>high</v>
      </c>
    </row>
    <row r="28" spans="1:32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t="str">
        <f t="shared" si="2"/>
        <v>Low price</v>
      </c>
      <c r="Q28" t="str" cm="1">
        <f t="array" ref="Q28">_xlfn.IFS(N28&gt;=10,"high",N28&gt;=5,"midum",N28&lt;5,"low")</f>
        <v>midum</v>
      </c>
      <c r="R28" t="str">
        <f t="shared" si="1"/>
        <v>low</v>
      </c>
    </row>
    <row r="29" spans="1:32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t="str">
        <f t="shared" si="2"/>
        <v>High price</v>
      </c>
      <c r="Q29" t="str" cm="1">
        <f t="array" ref="Q29">_xlfn.IFS(N29&gt;=10,"high",N29&gt;=5,"midum",N29&lt;5,"low")</f>
        <v>high</v>
      </c>
      <c r="R29" t="str">
        <f t="shared" si="1"/>
        <v>midum</v>
      </c>
    </row>
    <row r="30" spans="1:32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t="str">
        <f t="shared" si="2"/>
        <v>Low price</v>
      </c>
      <c r="Q30" t="str" cm="1">
        <f t="array" ref="Q30">_xlfn.IFS(N30&gt;=10,"high",N30&gt;=5,"midum",N30&lt;5,"low")</f>
        <v>high</v>
      </c>
      <c r="R30" t="str">
        <f t="shared" si="1"/>
        <v>low</v>
      </c>
    </row>
    <row r="31" spans="1:32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t="str">
        <f t="shared" si="2"/>
        <v>Low price</v>
      </c>
      <c r="Q31" t="str" cm="1">
        <f t="array" ref="Q31">_xlfn.IFS(N31&gt;=10,"high",N31&gt;=5,"midum",N31&lt;5,"low")</f>
        <v>high</v>
      </c>
      <c r="R31" t="str">
        <f t="shared" si="1"/>
        <v>low</v>
      </c>
      <c r="U31" s="3" t="s">
        <v>9</v>
      </c>
      <c r="V31" s="3" t="s">
        <v>10</v>
      </c>
      <c r="W31" s="3" t="s">
        <v>11</v>
      </c>
      <c r="X31" s="3" t="s">
        <v>12</v>
      </c>
    </row>
    <row r="32" spans="1:32" x14ac:dyDescent="0.35">
      <c r="A32" s="1"/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t="str">
        <f t="shared" si="2"/>
        <v>Low price</v>
      </c>
      <c r="Q32" t="str" cm="1">
        <f t="array" ref="Q32">_xlfn.IFS(N32&gt;=10,"high",N32&gt;=5,"midum",N32&lt;5,"low")</f>
        <v>high</v>
      </c>
      <c r="R32" t="str">
        <f t="shared" si="1"/>
        <v>midum</v>
      </c>
      <c r="U32" s="1" t="s">
        <v>19</v>
      </c>
      <c r="V32" s="1" t="s">
        <v>20</v>
      </c>
      <c r="W32" s="1">
        <v>7</v>
      </c>
      <c r="X32" s="1">
        <v>2843.87</v>
      </c>
      <c r="AA32" s="1" t="s">
        <v>18</v>
      </c>
      <c r="AB32" s="1" t="s">
        <v>19</v>
      </c>
      <c r="AC32" s="1" t="s">
        <v>20</v>
      </c>
      <c r="AD32" s="1">
        <v>7</v>
      </c>
      <c r="AE32" s="1">
        <v>2843.87</v>
      </c>
      <c r="AF32" s="3"/>
    </row>
    <row r="33" spans="1:32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t="str">
        <f t="shared" si="2"/>
        <v>Low price</v>
      </c>
      <c r="Q33" t="str" cm="1">
        <f t="array" ref="Q33">_xlfn.IFS(N33&gt;=10,"high",N33&gt;=5,"midum",N33&lt;5,"low")</f>
        <v>midum</v>
      </c>
      <c r="R33" t="str">
        <f t="shared" si="1"/>
        <v>low</v>
      </c>
      <c r="U33" s="1" t="s">
        <v>26</v>
      </c>
      <c r="V33" s="1" t="s">
        <v>27</v>
      </c>
      <c r="W33" s="1">
        <v>7</v>
      </c>
      <c r="X33" s="1">
        <v>2525.23</v>
      </c>
      <c r="AA33" s="1" t="s">
        <v>25</v>
      </c>
      <c r="AB33" s="1" t="s">
        <v>26</v>
      </c>
      <c r="AC33" s="1" t="s">
        <v>27</v>
      </c>
      <c r="AD33" s="1">
        <v>7</v>
      </c>
      <c r="AE33" s="1">
        <v>2525.23</v>
      </c>
      <c r="AF33" s="1"/>
    </row>
    <row r="34" spans="1:32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t="str">
        <f t="shared" si="2"/>
        <v>High price</v>
      </c>
      <c r="Q34" t="str" cm="1">
        <f t="array" ref="Q34">_xlfn.IFS(N34&gt;=10,"high",N34&gt;=5,"midum",N34&lt;5,"low")</f>
        <v>high</v>
      </c>
      <c r="R34" t="str">
        <f t="shared" si="1"/>
        <v>midum</v>
      </c>
      <c r="U34" s="1" t="s">
        <v>31</v>
      </c>
      <c r="V34" s="1" t="s">
        <v>32</v>
      </c>
      <c r="W34" s="1">
        <v>7</v>
      </c>
      <c r="X34" s="1">
        <v>3474.34</v>
      </c>
      <c r="AA34" s="1" t="s">
        <v>30</v>
      </c>
      <c r="AB34" s="1" t="s">
        <v>31</v>
      </c>
      <c r="AC34" s="1" t="s">
        <v>32</v>
      </c>
      <c r="AD34" s="1">
        <v>7</v>
      </c>
      <c r="AE34" s="1">
        <v>3474.34</v>
      </c>
      <c r="AF34" s="1"/>
    </row>
    <row r="35" spans="1:32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t="str">
        <f t="shared" si="2"/>
        <v>Low price</v>
      </c>
      <c r="Q35" t="str" cm="1">
        <f t="array" ref="Q35">_xlfn.IFS(N35&gt;=10,"high",N35&gt;=5,"midum",N35&lt;5,"low")</f>
        <v>low</v>
      </c>
      <c r="R35" t="str">
        <f t="shared" si="1"/>
        <v>midum</v>
      </c>
      <c r="U35" s="1" t="s">
        <v>35</v>
      </c>
      <c r="V35" s="1" t="s">
        <v>20</v>
      </c>
      <c r="W35" s="1">
        <v>7</v>
      </c>
      <c r="X35" s="1">
        <v>1008.79</v>
      </c>
      <c r="AA35" s="1" t="s">
        <v>25</v>
      </c>
      <c r="AB35" s="1" t="s">
        <v>35</v>
      </c>
      <c r="AC35" s="1" t="s">
        <v>20</v>
      </c>
      <c r="AD35" s="1">
        <v>7</v>
      </c>
      <c r="AE35" s="1">
        <v>1008.79</v>
      </c>
      <c r="AF35" s="1"/>
    </row>
    <row r="36" spans="1:32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t="str">
        <f t="shared" si="2"/>
        <v>High price</v>
      </c>
      <c r="Q36" t="str" cm="1">
        <f t="array" ref="Q36">_xlfn.IFS(N36&gt;=10,"high",N36&gt;=5,"midum",N36&lt;5,"low")</f>
        <v>midum</v>
      </c>
      <c r="R36" t="str">
        <f t="shared" si="1"/>
        <v>midum</v>
      </c>
      <c r="U36" s="1"/>
      <c r="V36" s="1" t="s">
        <v>20</v>
      </c>
      <c r="W36" s="1">
        <v>7</v>
      </c>
      <c r="X36" s="1">
        <v>3511.47</v>
      </c>
      <c r="AA36" s="1" t="s">
        <v>30</v>
      </c>
      <c r="AB36" s="1" t="s">
        <v>38</v>
      </c>
      <c r="AC36" s="1" t="s">
        <v>20</v>
      </c>
      <c r="AD36" s="1">
        <v>7</v>
      </c>
      <c r="AE36" s="1">
        <v>3511.47</v>
      </c>
      <c r="AF36" s="1"/>
    </row>
    <row r="37" spans="1:32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t="str">
        <f t="shared" si="2"/>
        <v>Low price</v>
      </c>
      <c r="Q37" t="str" cm="1">
        <f t="array" ref="Q37">_xlfn.IFS(N37&gt;=10,"high",N37&gt;=5,"midum",N37&lt;5,"low")</f>
        <v>low</v>
      </c>
      <c r="R37" t="str">
        <f t="shared" si="1"/>
        <v>midum</v>
      </c>
      <c r="U37" s="1" t="s">
        <v>42</v>
      </c>
      <c r="V37" s="1" t="s">
        <v>32</v>
      </c>
      <c r="W37" s="1">
        <v>7</v>
      </c>
      <c r="X37" s="1">
        <v>3189.55</v>
      </c>
      <c r="AA37" s="1" t="s">
        <v>18</v>
      </c>
      <c r="AB37" s="1" t="s">
        <v>42</v>
      </c>
      <c r="AC37" s="1" t="s">
        <v>32</v>
      </c>
      <c r="AD37" s="1">
        <v>7</v>
      </c>
      <c r="AE37" s="1">
        <v>3189.55</v>
      </c>
      <c r="AF37" s="1"/>
    </row>
    <row r="38" spans="1:32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t="str">
        <f t="shared" si="2"/>
        <v>Low price</v>
      </c>
      <c r="Q38" t="str" cm="1">
        <f t="array" ref="Q38">_xlfn.IFS(N38&gt;=10,"high",N38&gt;=5,"midum",N38&lt;5,"low")</f>
        <v>midum</v>
      </c>
      <c r="R38" t="str">
        <f t="shared" si="1"/>
        <v>low</v>
      </c>
      <c r="U38" s="1"/>
      <c r="V38" s="1" t="s">
        <v>44</v>
      </c>
      <c r="W38" s="1">
        <v>7</v>
      </c>
      <c r="X38" s="1">
        <v>3030.42</v>
      </c>
      <c r="AA38" s="1" t="s">
        <v>30</v>
      </c>
      <c r="AB38" s="1" t="s">
        <v>31</v>
      </c>
      <c r="AC38" s="1" t="s">
        <v>44</v>
      </c>
      <c r="AD38" s="1">
        <v>7</v>
      </c>
      <c r="AE38" s="1">
        <v>3030.42</v>
      </c>
      <c r="AF38" s="1"/>
    </row>
    <row r="39" spans="1:32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t="str">
        <f t="shared" si="2"/>
        <v>Low price</v>
      </c>
      <c r="Q39" t="str" cm="1">
        <f t="array" ref="Q39">_xlfn.IFS(N39&gt;=10,"high",N39&gt;=5,"midum",N39&lt;5,"low")</f>
        <v>high</v>
      </c>
      <c r="R39" t="str">
        <f t="shared" si="1"/>
        <v>midum</v>
      </c>
      <c r="U39" s="1" t="s">
        <v>31</v>
      </c>
      <c r="V39" s="1" t="s">
        <v>46</v>
      </c>
      <c r="W39" s="1">
        <v>7</v>
      </c>
      <c r="X39" s="1">
        <v>2310.83</v>
      </c>
      <c r="AA39" s="1" t="s">
        <v>30</v>
      </c>
      <c r="AB39" s="1" t="s">
        <v>31</v>
      </c>
      <c r="AC39" s="1" t="s">
        <v>46</v>
      </c>
      <c r="AD39" s="1">
        <v>7</v>
      </c>
      <c r="AE39" s="1">
        <v>2310.83</v>
      </c>
      <c r="AF39" s="1"/>
    </row>
    <row r="40" spans="1:32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t="str">
        <f t="shared" si="2"/>
        <v>High price</v>
      </c>
      <c r="Q40" t="str" cm="1">
        <f t="array" ref="Q40">_xlfn.IFS(N40&gt;=10,"high",N40&gt;=5,"midum",N40&lt;5,"low")</f>
        <v>high</v>
      </c>
      <c r="R40" t="str">
        <f t="shared" si="1"/>
        <v>midum</v>
      </c>
      <c r="U40" s="1" t="s">
        <v>47</v>
      </c>
      <c r="V40" s="1" t="s">
        <v>27</v>
      </c>
      <c r="W40" s="1">
        <v>7</v>
      </c>
      <c r="X40" s="1">
        <v>1098.04</v>
      </c>
      <c r="AA40" s="1" t="s">
        <v>30</v>
      </c>
      <c r="AB40" s="1" t="s">
        <v>47</v>
      </c>
      <c r="AC40" s="1" t="s">
        <v>27</v>
      </c>
      <c r="AD40" s="1">
        <v>7</v>
      </c>
      <c r="AE40" s="1">
        <v>1098.04</v>
      </c>
      <c r="AF40" s="1"/>
    </row>
    <row r="41" spans="1:32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t="str">
        <f t="shared" si="2"/>
        <v>High price</v>
      </c>
      <c r="Q41" t="str" cm="1">
        <f t="array" ref="Q41">_xlfn.IFS(N41&gt;=10,"high",N41&gt;=5,"midum",N41&lt;5,"low")</f>
        <v>high</v>
      </c>
      <c r="R41" t="str">
        <f t="shared" si="1"/>
        <v>midum</v>
      </c>
      <c r="U41" s="1" t="s">
        <v>49</v>
      </c>
      <c r="V41" s="1" t="s">
        <v>46</v>
      </c>
      <c r="W41" s="1">
        <v>7</v>
      </c>
      <c r="X41" s="1">
        <v>1780.66</v>
      </c>
      <c r="AA41" s="1" t="s">
        <v>48</v>
      </c>
      <c r="AB41" s="1" t="s">
        <v>49</v>
      </c>
      <c r="AC41" s="1" t="s">
        <v>46</v>
      </c>
      <c r="AD41" s="1">
        <v>7</v>
      </c>
      <c r="AE41" s="1">
        <v>1780.66</v>
      </c>
      <c r="AF41" s="1"/>
    </row>
    <row r="42" spans="1:32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t="str">
        <f t="shared" si="2"/>
        <v>High price</v>
      </c>
      <c r="Q42" t="str" cm="1">
        <f t="array" ref="Q42">_xlfn.IFS(N42&gt;=10,"high",N42&gt;=5,"midum",N42&lt;5,"low")</f>
        <v>low</v>
      </c>
      <c r="R42" t="str">
        <f t="shared" si="1"/>
        <v>midum</v>
      </c>
      <c r="AA42" s="1"/>
      <c r="AB42" s="1"/>
      <c r="AC42" s="1"/>
      <c r="AD42" s="1"/>
      <c r="AE42" s="1"/>
      <c r="AF42" s="1"/>
    </row>
    <row r="43" spans="1:32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t="str">
        <f t="shared" si="2"/>
        <v>Low price</v>
      </c>
      <c r="Q43" t="str" cm="1">
        <f t="array" ref="Q43">_xlfn.IFS(N43&gt;=10,"high",N43&gt;=5,"midum",N43&lt;5,"low")</f>
        <v>high</v>
      </c>
      <c r="R43" t="str">
        <f t="shared" si="1"/>
        <v>low</v>
      </c>
    </row>
    <row r="44" spans="1:32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t="str">
        <f t="shared" si="2"/>
        <v>Low price</v>
      </c>
      <c r="Q44" t="str" cm="1">
        <f t="array" ref="Q44">_xlfn.IFS(N44&gt;=10,"high",N44&gt;=5,"midum",N44&lt;5,"low")</f>
        <v>high</v>
      </c>
      <c r="R44" t="str">
        <f t="shared" si="1"/>
        <v>midum</v>
      </c>
      <c r="Y44" s="1" t="s">
        <v>97</v>
      </c>
      <c r="Z44" s="1" t="s">
        <v>95</v>
      </c>
      <c r="AA44" s="1">
        <f>COUNT(A32:A41)</f>
        <v>9</v>
      </c>
    </row>
    <row r="45" spans="1:32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t="str">
        <f t="shared" si="2"/>
        <v>Low price</v>
      </c>
      <c r="Q45" t="str" cm="1">
        <f t="array" ref="Q45">_xlfn.IFS(N45&gt;=10,"high",N45&gt;=5,"midum",N45&lt;5,"low")</f>
        <v>high</v>
      </c>
      <c r="R45" t="str">
        <f t="shared" si="1"/>
        <v>low</v>
      </c>
      <c r="U45" s="1" t="s">
        <v>96</v>
      </c>
      <c r="V45" s="1">
        <f>COUNTIF(V32:V41,"BrandA")</f>
        <v>3</v>
      </c>
      <c r="W45" s="5"/>
    </row>
    <row r="46" spans="1:32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t="str">
        <f t="shared" si="2"/>
        <v>Low price</v>
      </c>
      <c r="Q46" t="str" cm="1">
        <f t="array" ref="Q46">_xlfn.IFS(N46&gt;=10,"high",N46&gt;=5,"midum",N46&lt;5,"low")</f>
        <v>low</v>
      </c>
      <c r="R46" t="str">
        <f t="shared" si="1"/>
        <v>low</v>
      </c>
      <c r="U46" s="1" t="s">
        <v>94</v>
      </c>
      <c r="V46" s="1">
        <f>COUNTBLANK(U32:U41)</f>
        <v>2</v>
      </c>
    </row>
    <row r="47" spans="1:32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t="str">
        <f t="shared" si="2"/>
        <v>Low price</v>
      </c>
      <c r="Q47" t="str" cm="1">
        <f t="array" ref="Q47">_xlfn.IFS(N47&gt;=10,"high",N47&gt;=5,"midum",N47&lt;5,"low")</f>
        <v>high</v>
      </c>
      <c r="R47" t="str">
        <f t="shared" si="1"/>
        <v>midum</v>
      </c>
    </row>
    <row r="48" spans="1:32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t="str">
        <f t="shared" si="2"/>
        <v>Low price</v>
      </c>
      <c r="Q48" t="str" cm="1">
        <f t="array" ref="Q48">_xlfn.IFS(N48&gt;=10,"high",N48&gt;=5,"midum",N48&lt;5,"low")</f>
        <v>high</v>
      </c>
      <c r="R48" t="str">
        <f t="shared" si="1"/>
        <v>low</v>
      </c>
    </row>
    <row r="49" spans="1:22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t="str">
        <f t="shared" si="2"/>
        <v>Low price</v>
      </c>
      <c r="Q49" t="str" cm="1">
        <f t="array" ref="Q49">_xlfn.IFS(N49&gt;=10,"high",N49&gt;=5,"midum",N49&lt;5,"low")</f>
        <v>midum</v>
      </c>
      <c r="R49" t="str">
        <f t="shared" si="1"/>
        <v>midum</v>
      </c>
    </row>
    <row r="50" spans="1:22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t="str">
        <f t="shared" si="2"/>
        <v>High price</v>
      </c>
      <c r="Q50" t="str" cm="1">
        <f t="array" ref="Q50">_xlfn.IFS(N50&gt;=10,"high",N50&gt;=5,"midum",N50&lt;5,"low")</f>
        <v>high</v>
      </c>
      <c r="R50" t="str">
        <f t="shared" si="1"/>
        <v>midum</v>
      </c>
    </row>
    <row r="51" spans="1:22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t="str">
        <f t="shared" si="2"/>
        <v>Low price</v>
      </c>
      <c r="Q51" t="str" cm="1">
        <f t="array" ref="Q51">_xlfn.IFS(N51&gt;=10,"high",N51&gt;=5,"midum",N51&lt;5,"low")</f>
        <v>high</v>
      </c>
      <c r="R51" t="str">
        <f t="shared" si="1"/>
        <v>midum</v>
      </c>
    </row>
    <row r="52" spans="1:22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t="str">
        <f t="shared" si="2"/>
        <v>Low price</v>
      </c>
      <c r="Q52" t="str" cm="1">
        <f t="array" ref="Q52">_xlfn.IFS(N52&gt;=10,"high",N52&gt;=5,"midum",N52&lt;5,"low")</f>
        <v>midum</v>
      </c>
      <c r="R52" t="str">
        <f t="shared" si="1"/>
        <v>low</v>
      </c>
      <c r="U52" s="6"/>
      <c r="V52" s="6"/>
    </row>
    <row r="53" spans="1:22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t="str">
        <f t="shared" si="2"/>
        <v>Low price</v>
      </c>
      <c r="Q53" t="str" cm="1">
        <f t="array" ref="Q53">_xlfn.IFS(N53&gt;=10,"high",N53&gt;=5,"midum",N53&lt;5,"low")</f>
        <v>high</v>
      </c>
      <c r="R53" t="str">
        <f t="shared" si="1"/>
        <v>midum</v>
      </c>
    </row>
    <row r="54" spans="1:22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t="str">
        <f t="shared" si="2"/>
        <v>Low price</v>
      </c>
      <c r="Q54" t="str" cm="1">
        <f t="array" ref="Q54">_xlfn.IFS(N54&gt;=10,"high",N54&gt;=5,"midum",N54&lt;5,"low")</f>
        <v>high</v>
      </c>
      <c r="R54" t="str">
        <f t="shared" si="1"/>
        <v>midum</v>
      </c>
    </row>
    <row r="55" spans="1:22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t="str">
        <f t="shared" si="2"/>
        <v>Low price</v>
      </c>
      <c r="Q55" t="str" cm="1">
        <f t="array" ref="Q55">_xlfn.IFS(N55&gt;=10,"high",N55&gt;=5,"midum",N55&lt;5,"low")</f>
        <v>midum</v>
      </c>
      <c r="R55" t="str">
        <f t="shared" si="1"/>
        <v>low</v>
      </c>
    </row>
    <row r="56" spans="1:22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t="str">
        <f t="shared" si="2"/>
        <v>High price</v>
      </c>
      <c r="Q56" t="str" cm="1">
        <f t="array" ref="Q56">_xlfn.IFS(N56&gt;=10,"high",N56&gt;=5,"midum",N56&lt;5,"low")</f>
        <v>high</v>
      </c>
      <c r="R56" t="str">
        <f t="shared" si="1"/>
        <v>midum</v>
      </c>
    </row>
    <row r="57" spans="1:22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t="str">
        <f t="shared" si="2"/>
        <v>Low price</v>
      </c>
      <c r="Q57" t="str" cm="1">
        <f t="array" ref="Q57">_xlfn.IFS(N57&gt;=10,"high",N57&gt;=5,"midum",N57&lt;5,"low")</f>
        <v>high</v>
      </c>
      <c r="R57" t="str">
        <f t="shared" si="1"/>
        <v>high</v>
      </c>
    </row>
    <row r="58" spans="1:22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t="str">
        <f t="shared" si="2"/>
        <v>High price</v>
      </c>
      <c r="Q58" t="str" cm="1">
        <f t="array" ref="Q58">_xlfn.IFS(N58&gt;=10,"high",N58&gt;=5,"midum",N58&lt;5,"low")</f>
        <v>low</v>
      </c>
      <c r="R58" t="str">
        <f t="shared" si="1"/>
        <v>midum</v>
      </c>
    </row>
    <row r="59" spans="1:22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t="str">
        <f t="shared" si="2"/>
        <v>High price</v>
      </c>
      <c r="Q59" t="str" cm="1">
        <f t="array" ref="Q59">_xlfn.IFS(N59&gt;=10,"high",N59&gt;=5,"midum",N59&lt;5,"low")</f>
        <v>high</v>
      </c>
      <c r="R59" t="str">
        <f t="shared" si="1"/>
        <v>midum</v>
      </c>
    </row>
    <row r="60" spans="1:22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t="str">
        <f t="shared" si="2"/>
        <v>Low price</v>
      </c>
      <c r="Q60" t="str" cm="1">
        <f t="array" ref="Q60">_xlfn.IFS(N60&gt;=10,"high",N60&gt;=5,"midum",N60&lt;5,"low")</f>
        <v>high</v>
      </c>
      <c r="R60" t="str">
        <f t="shared" si="1"/>
        <v>midum</v>
      </c>
    </row>
    <row r="61" spans="1:22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t="str">
        <f t="shared" si="2"/>
        <v>High price</v>
      </c>
      <c r="Q61" t="str" cm="1">
        <f t="array" ref="Q61">_xlfn.IFS(N61&gt;=10,"high",N61&gt;=5,"midum",N61&lt;5,"low")</f>
        <v>high</v>
      </c>
      <c r="R61" t="str">
        <f t="shared" si="1"/>
        <v>midum</v>
      </c>
    </row>
    <row r="62" spans="1:22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t="str">
        <f t="shared" si="2"/>
        <v>Low price</v>
      </c>
      <c r="Q62" t="str" cm="1">
        <f t="array" ref="Q62">_xlfn.IFS(N62&gt;=10,"high",N62&gt;=5,"midum",N62&lt;5,"low")</f>
        <v>high</v>
      </c>
      <c r="R62" t="str">
        <f t="shared" si="1"/>
        <v>low</v>
      </c>
    </row>
    <row r="63" spans="1:22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t="str">
        <f t="shared" si="2"/>
        <v>Low price</v>
      </c>
      <c r="Q63" t="str" cm="1">
        <f t="array" ref="Q63">_xlfn.IFS(N63&gt;=10,"high",N63&gt;=5,"midum",N63&lt;5,"low")</f>
        <v>high</v>
      </c>
      <c r="R63" t="str">
        <f t="shared" si="1"/>
        <v>low</v>
      </c>
    </row>
    <row r="64" spans="1:22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t="str">
        <f t="shared" si="2"/>
        <v>High price</v>
      </c>
      <c r="Q64" t="str" cm="1">
        <f t="array" ref="Q64">_xlfn.IFS(N64&gt;=10,"high",N64&gt;=5,"midum",N64&lt;5,"low")</f>
        <v>midum</v>
      </c>
      <c r="R64" t="str">
        <f t="shared" si="1"/>
        <v>midum</v>
      </c>
    </row>
    <row r="65" spans="1:18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t="str">
        <f t="shared" si="2"/>
        <v>Low price</v>
      </c>
      <c r="Q65" t="str" cm="1">
        <f t="array" ref="Q65">_xlfn.IFS(N65&gt;=10,"high",N65&gt;=5,"midum",N65&lt;5,"low")</f>
        <v>high</v>
      </c>
      <c r="R65" t="str">
        <f t="shared" si="1"/>
        <v>low</v>
      </c>
    </row>
    <row r="66" spans="1:18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t="str">
        <f t="shared" si="2"/>
        <v>Low price</v>
      </c>
      <c r="Q66" t="str" cm="1">
        <f t="array" ref="Q66">_xlfn.IFS(N66&gt;=10,"high",N66&gt;=5,"midum",N66&lt;5,"low")</f>
        <v>low</v>
      </c>
      <c r="R66" t="str">
        <f t="shared" si="1"/>
        <v>midum</v>
      </c>
    </row>
    <row r="67" spans="1:18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M67*L67</f>
        <v>11021.880000000001</v>
      </c>
      <c r="P67" t="str">
        <f t="shared" ref="P67:P130" si="4">IF(O67&gt;=15000,"High price","Low price")</f>
        <v>Low price</v>
      </c>
      <c r="Q67" t="str" cm="1">
        <f t="array" ref="Q67">_xlfn.IFS(N67&gt;=10,"high",N67&gt;=5,"midum",N67&lt;5,"low")</f>
        <v>midum</v>
      </c>
      <c r="R67" t="str">
        <f t="shared" ref="R67:R130" si="5">IF(L67&gt;8,"high",IF(L67&gt;4,"midum","low"))</f>
        <v>midum</v>
      </c>
    </row>
    <row r="68" spans="1:18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t="str">
        <f t="shared" si="4"/>
        <v>Low price</v>
      </c>
      <c r="Q68" t="str" cm="1">
        <f t="array" ref="Q68">_xlfn.IFS(N68&gt;=10,"high",N68&gt;=5,"midum",N68&lt;5,"low")</f>
        <v>high</v>
      </c>
      <c r="R68" t="str">
        <f t="shared" si="5"/>
        <v>low</v>
      </c>
    </row>
    <row r="69" spans="1:18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t="str">
        <f t="shared" si="4"/>
        <v>Low price</v>
      </c>
      <c r="Q69" t="str" cm="1">
        <f t="array" ref="Q69">_xlfn.IFS(N69&gt;=10,"high",N69&gt;=5,"midum",N69&lt;5,"low")</f>
        <v>midum</v>
      </c>
      <c r="R69" t="str">
        <f t="shared" si="5"/>
        <v>low</v>
      </c>
    </row>
    <row r="70" spans="1:18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t="str">
        <f t="shared" si="4"/>
        <v>Low price</v>
      </c>
      <c r="Q70" t="str" cm="1">
        <f t="array" ref="Q70">_xlfn.IFS(N70&gt;=10,"high",N70&gt;=5,"midum",N70&lt;5,"low")</f>
        <v>high</v>
      </c>
      <c r="R70" t="str">
        <f t="shared" si="5"/>
        <v>low</v>
      </c>
    </row>
    <row r="71" spans="1:18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t="str">
        <f t="shared" si="4"/>
        <v>Low price</v>
      </c>
      <c r="Q71" t="str" cm="1">
        <f t="array" ref="Q71">_xlfn.IFS(N71&gt;=10,"high",N71&gt;=5,"midum",N71&lt;5,"low")</f>
        <v>midum</v>
      </c>
      <c r="R71" t="str">
        <f t="shared" si="5"/>
        <v>low</v>
      </c>
    </row>
    <row r="72" spans="1:18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t="str">
        <f t="shared" si="4"/>
        <v>Low price</v>
      </c>
      <c r="Q72" t="str" cm="1">
        <f t="array" ref="Q72">_xlfn.IFS(N72&gt;=10,"high",N72&gt;=5,"midum",N72&lt;5,"low")</f>
        <v>low</v>
      </c>
      <c r="R72" t="str">
        <f t="shared" si="5"/>
        <v>low</v>
      </c>
    </row>
    <row r="73" spans="1:18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t="str">
        <f t="shared" si="4"/>
        <v>Low price</v>
      </c>
      <c r="Q73" t="str" cm="1">
        <f t="array" ref="Q73">_xlfn.IFS(N73&gt;=10,"high",N73&gt;=5,"midum",N73&lt;5,"low")</f>
        <v>low</v>
      </c>
      <c r="R73" t="str">
        <f t="shared" si="5"/>
        <v>low</v>
      </c>
    </row>
    <row r="74" spans="1:18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t="str">
        <f t="shared" si="4"/>
        <v>Low price</v>
      </c>
      <c r="Q74" t="str" cm="1">
        <f t="array" ref="Q74">_xlfn.IFS(N74&gt;=10,"high",N74&gt;=5,"midum",N74&lt;5,"low")</f>
        <v>high</v>
      </c>
      <c r="R74" t="str">
        <f t="shared" si="5"/>
        <v>midum</v>
      </c>
    </row>
    <row r="75" spans="1:18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t="str">
        <f t="shared" si="4"/>
        <v>Low price</v>
      </c>
      <c r="Q75" t="str" cm="1">
        <f t="array" ref="Q75">_xlfn.IFS(N75&gt;=10,"high",N75&gt;=5,"midum",N75&lt;5,"low")</f>
        <v>high</v>
      </c>
      <c r="R75" t="str">
        <f t="shared" si="5"/>
        <v>low</v>
      </c>
    </row>
    <row r="76" spans="1:18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t="str">
        <f t="shared" si="4"/>
        <v>Low price</v>
      </c>
      <c r="Q76" t="str" cm="1">
        <f t="array" ref="Q76">_xlfn.IFS(N76&gt;=10,"high",N76&gt;=5,"midum",N76&lt;5,"low")</f>
        <v>high</v>
      </c>
      <c r="R76" t="str">
        <f t="shared" si="5"/>
        <v>midum</v>
      </c>
    </row>
    <row r="77" spans="1:18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t="str">
        <f t="shared" si="4"/>
        <v>Low price</v>
      </c>
      <c r="Q77" t="str" cm="1">
        <f t="array" ref="Q77">_xlfn.IFS(N77&gt;=10,"high",N77&gt;=5,"midum",N77&lt;5,"low")</f>
        <v>high</v>
      </c>
      <c r="R77" t="str">
        <f t="shared" si="5"/>
        <v>low</v>
      </c>
    </row>
    <row r="78" spans="1:18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t="str">
        <f t="shared" si="4"/>
        <v>High price</v>
      </c>
      <c r="Q78" t="str" cm="1">
        <f t="array" ref="Q78">_xlfn.IFS(N78&gt;=10,"high",N78&gt;=5,"midum",N78&lt;5,"low")</f>
        <v>low</v>
      </c>
      <c r="R78" t="str">
        <f t="shared" si="5"/>
        <v>midum</v>
      </c>
    </row>
    <row r="79" spans="1:18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t="str">
        <f t="shared" si="4"/>
        <v>Low price</v>
      </c>
      <c r="Q79" t="str" cm="1">
        <f t="array" ref="Q79">_xlfn.IFS(N79&gt;=10,"high",N79&gt;=5,"midum",N79&lt;5,"low")</f>
        <v>low</v>
      </c>
      <c r="R79" t="str">
        <f t="shared" si="5"/>
        <v>midum</v>
      </c>
    </row>
    <row r="80" spans="1:18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t="str">
        <f t="shared" si="4"/>
        <v>Low price</v>
      </c>
      <c r="Q80" t="str" cm="1">
        <f t="array" ref="Q80">_xlfn.IFS(N80&gt;=10,"high",N80&gt;=5,"midum",N80&lt;5,"low")</f>
        <v>midum</v>
      </c>
      <c r="R80" t="str">
        <f t="shared" si="5"/>
        <v>midum</v>
      </c>
    </row>
    <row r="81" spans="1:18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t="str">
        <f t="shared" si="4"/>
        <v>Low price</v>
      </c>
      <c r="Q81" t="str" cm="1">
        <f t="array" ref="Q81">_xlfn.IFS(N81&gt;=10,"high",N81&gt;=5,"midum",N81&lt;5,"low")</f>
        <v>high</v>
      </c>
      <c r="R81" t="str">
        <f t="shared" si="5"/>
        <v>low</v>
      </c>
    </row>
    <row r="82" spans="1:18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t="str">
        <f t="shared" si="4"/>
        <v>Low price</v>
      </c>
      <c r="Q82" t="str" cm="1">
        <f t="array" ref="Q82">_xlfn.IFS(N82&gt;=10,"high",N82&gt;=5,"midum",N82&lt;5,"low")</f>
        <v>high</v>
      </c>
      <c r="R82" t="str">
        <f t="shared" si="5"/>
        <v>low</v>
      </c>
    </row>
    <row r="83" spans="1:18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t="str">
        <f t="shared" si="4"/>
        <v>Low price</v>
      </c>
      <c r="Q83" t="str" cm="1">
        <f t="array" ref="Q83">_xlfn.IFS(N83&gt;=10,"high",N83&gt;=5,"midum",N83&lt;5,"low")</f>
        <v>high</v>
      </c>
      <c r="R83" t="str">
        <f t="shared" si="5"/>
        <v>low</v>
      </c>
    </row>
    <row r="84" spans="1:18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t="str">
        <f t="shared" si="4"/>
        <v>Low price</v>
      </c>
      <c r="Q84" t="str" cm="1">
        <f t="array" ref="Q84">_xlfn.IFS(N84&gt;=10,"high",N84&gt;=5,"midum",N84&lt;5,"low")</f>
        <v>midum</v>
      </c>
      <c r="R84" t="str">
        <f t="shared" si="5"/>
        <v>midum</v>
      </c>
    </row>
    <row r="85" spans="1:18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t="str">
        <f t="shared" si="4"/>
        <v>Low price</v>
      </c>
      <c r="Q85" t="str" cm="1">
        <f t="array" ref="Q85">_xlfn.IFS(N85&gt;=10,"high",N85&gt;=5,"midum",N85&lt;5,"low")</f>
        <v>high</v>
      </c>
      <c r="R85" t="str">
        <f t="shared" si="5"/>
        <v>low</v>
      </c>
    </row>
    <row r="86" spans="1:18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t="str">
        <f t="shared" si="4"/>
        <v>High price</v>
      </c>
      <c r="Q86" t="str" cm="1">
        <f t="array" ref="Q86">_xlfn.IFS(N86&gt;=10,"high",N86&gt;=5,"midum",N86&lt;5,"low")</f>
        <v>high</v>
      </c>
      <c r="R86" t="str">
        <f t="shared" si="5"/>
        <v>midum</v>
      </c>
    </row>
    <row r="87" spans="1:18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t="str">
        <f t="shared" si="4"/>
        <v>Low price</v>
      </c>
      <c r="Q87" t="str" cm="1">
        <f t="array" ref="Q87">_xlfn.IFS(N87&gt;=10,"high",N87&gt;=5,"midum",N87&lt;5,"low")</f>
        <v>midum</v>
      </c>
      <c r="R87" t="str">
        <f t="shared" si="5"/>
        <v>low</v>
      </c>
    </row>
    <row r="88" spans="1:18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t="str">
        <f t="shared" si="4"/>
        <v>High price</v>
      </c>
      <c r="Q88" t="str" cm="1">
        <f t="array" ref="Q88">_xlfn.IFS(N88&gt;=10,"high",N88&gt;=5,"midum",N88&lt;5,"low")</f>
        <v>high</v>
      </c>
      <c r="R88" t="str">
        <f t="shared" si="5"/>
        <v>high</v>
      </c>
    </row>
    <row r="89" spans="1:18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t="str">
        <f t="shared" si="4"/>
        <v>Low price</v>
      </c>
      <c r="Q89" t="str" cm="1">
        <f t="array" ref="Q89">_xlfn.IFS(N89&gt;=10,"high",N89&gt;=5,"midum",N89&lt;5,"low")</f>
        <v>high</v>
      </c>
      <c r="R89" t="str">
        <f t="shared" si="5"/>
        <v>low</v>
      </c>
    </row>
    <row r="90" spans="1:18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t="str">
        <f t="shared" si="4"/>
        <v>Low price</v>
      </c>
      <c r="Q90" t="str" cm="1">
        <f t="array" ref="Q90">_xlfn.IFS(N90&gt;=10,"high",N90&gt;=5,"midum",N90&lt;5,"low")</f>
        <v>high</v>
      </c>
      <c r="R90" t="str">
        <f t="shared" si="5"/>
        <v>low</v>
      </c>
    </row>
    <row r="91" spans="1:18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t="str">
        <f t="shared" si="4"/>
        <v>Low price</v>
      </c>
      <c r="Q91" t="str" cm="1">
        <f t="array" ref="Q91">_xlfn.IFS(N91&gt;=10,"high",N91&gt;=5,"midum",N91&lt;5,"low")</f>
        <v>high</v>
      </c>
      <c r="R91" t="str">
        <f t="shared" si="5"/>
        <v>low</v>
      </c>
    </row>
    <row r="92" spans="1:18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t="str">
        <f t="shared" si="4"/>
        <v>Low price</v>
      </c>
      <c r="Q92" t="str" cm="1">
        <f t="array" ref="Q92">_xlfn.IFS(N92&gt;=10,"high",N92&gt;=5,"midum",N92&lt;5,"low")</f>
        <v>midum</v>
      </c>
      <c r="R92" t="str">
        <f t="shared" si="5"/>
        <v>high</v>
      </c>
    </row>
    <row r="93" spans="1:18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t="str">
        <f t="shared" si="4"/>
        <v>Low price</v>
      </c>
      <c r="Q93" t="str" cm="1">
        <f t="array" ref="Q93">_xlfn.IFS(N93&gt;=10,"high",N93&gt;=5,"midum",N93&lt;5,"low")</f>
        <v>high</v>
      </c>
      <c r="R93" t="str">
        <f t="shared" si="5"/>
        <v>low</v>
      </c>
    </row>
    <row r="94" spans="1:18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t="str">
        <f t="shared" si="4"/>
        <v>Low price</v>
      </c>
      <c r="Q94" t="str" cm="1">
        <f t="array" ref="Q94">_xlfn.IFS(N94&gt;=10,"high",N94&gt;=5,"midum",N94&lt;5,"low")</f>
        <v>high</v>
      </c>
      <c r="R94" t="str">
        <f t="shared" si="5"/>
        <v>low</v>
      </c>
    </row>
    <row r="95" spans="1:18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t="str">
        <f t="shared" si="4"/>
        <v>High price</v>
      </c>
      <c r="Q95" t="str" cm="1">
        <f t="array" ref="Q95">_xlfn.IFS(N95&gt;=10,"high",N95&gt;=5,"midum",N95&lt;5,"low")</f>
        <v>high</v>
      </c>
      <c r="R95" t="str">
        <f t="shared" si="5"/>
        <v>midum</v>
      </c>
    </row>
    <row r="96" spans="1:18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t="str">
        <f t="shared" si="4"/>
        <v>Low price</v>
      </c>
      <c r="Q96" t="str" cm="1">
        <f t="array" ref="Q96">_xlfn.IFS(N96&gt;=10,"high",N96&gt;=5,"midum",N96&lt;5,"low")</f>
        <v>high</v>
      </c>
      <c r="R96" t="str">
        <f t="shared" si="5"/>
        <v>midum</v>
      </c>
    </row>
    <row r="97" spans="1:18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t="str">
        <f t="shared" si="4"/>
        <v>Low price</v>
      </c>
      <c r="Q97" t="str" cm="1">
        <f t="array" ref="Q97">_xlfn.IFS(N97&gt;=10,"high",N97&gt;=5,"midum",N97&lt;5,"low")</f>
        <v>high</v>
      </c>
      <c r="R97" t="str">
        <f t="shared" si="5"/>
        <v>low</v>
      </c>
    </row>
    <row r="98" spans="1:18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t="str">
        <f t="shared" si="4"/>
        <v>High price</v>
      </c>
      <c r="Q98" t="str" cm="1">
        <f t="array" ref="Q98">_xlfn.IFS(N98&gt;=10,"high",N98&gt;=5,"midum",N98&lt;5,"low")</f>
        <v>high</v>
      </c>
      <c r="R98" t="str">
        <f t="shared" si="5"/>
        <v>midum</v>
      </c>
    </row>
    <row r="99" spans="1:18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t="str">
        <f t="shared" si="4"/>
        <v>Low price</v>
      </c>
      <c r="Q99" t="str" cm="1">
        <f t="array" ref="Q99">_xlfn.IFS(N99&gt;=10,"high",N99&gt;=5,"midum",N99&lt;5,"low")</f>
        <v>high</v>
      </c>
      <c r="R99" t="str">
        <f t="shared" si="5"/>
        <v>midum</v>
      </c>
    </row>
    <row r="100" spans="1:18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t="str">
        <f t="shared" si="4"/>
        <v>Low price</v>
      </c>
      <c r="Q100" t="str" cm="1">
        <f t="array" ref="Q100">_xlfn.IFS(N100&gt;=10,"high",N100&gt;=5,"midum",N100&lt;5,"low")</f>
        <v>midum</v>
      </c>
      <c r="R100" t="str">
        <f t="shared" si="5"/>
        <v>low</v>
      </c>
    </row>
    <row r="101" spans="1:18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t="str">
        <f t="shared" si="4"/>
        <v>Low price</v>
      </c>
      <c r="Q101" t="str" cm="1">
        <f t="array" ref="Q101">_xlfn.IFS(N101&gt;=10,"high",N101&gt;=5,"midum",N101&lt;5,"low")</f>
        <v>high</v>
      </c>
      <c r="R101" t="str">
        <f t="shared" si="5"/>
        <v>midum</v>
      </c>
    </row>
    <row r="102" spans="1:18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t="str">
        <f t="shared" si="4"/>
        <v>Low price</v>
      </c>
      <c r="Q102" t="str" cm="1">
        <f t="array" ref="Q102">_xlfn.IFS(N102&gt;=10,"high",N102&gt;=5,"midum",N102&lt;5,"low")</f>
        <v>high</v>
      </c>
      <c r="R102" t="str">
        <f t="shared" si="5"/>
        <v>low</v>
      </c>
    </row>
    <row r="103" spans="1:18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t="str">
        <f t="shared" si="4"/>
        <v>Low price</v>
      </c>
      <c r="Q103" t="str" cm="1">
        <f t="array" ref="Q103">_xlfn.IFS(N103&gt;=10,"high",N103&gt;=5,"midum",N103&lt;5,"low")</f>
        <v>high</v>
      </c>
      <c r="R103" t="str">
        <f t="shared" si="5"/>
        <v>midum</v>
      </c>
    </row>
    <row r="104" spans="1:18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t="str">
        <f t="shared" si="4"/>
        <v>Low price</v>
      </c>
      <c r="Q104" t="str" cm="1">
        <f t="array" ref="Q104">_xlfn.IFS(N104&gt;=10,"high",N104&gt;=5,"midum",N104&lt;5,"low")</f>
        <v>high</v>
      </c>
      <c r="R104" t="str">
        <f t="shared" si="5"/>
        <v>low</v>
      </c>
    </row>
    <row r="105" spans="1:18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t="str">
        <f t="shared" si="4"/>
        <v>Low price</v>
      </c>
      <c r="Q105" t="str" cm="1">
        <f t="array" ref="Q105">_xlfn.IFS(N105&gt;=10,"high",N105&gt;=5,"midum",N105&lt;5,"low")</f>
        <v>high</v>
      </c>
      <c r="R105" t="str">
        <f t="shared" si="5"/>
        <v>low</v>
      </c>
    </row>
    <row r="106" spans="1:18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t="str">
        <f t="shared" si="4"/>
        <v>Low price</v>
      </c>
      <c r="Q106" t="str" cm="1">
        <f t="array" ref="Q106">_xlfn.IFS(N106&gt;=10,"high",N106&gt;=5,"midum",N106&lt;5,"low")</f>
        <v>high</v>
      </c>
      <c r="R106" t="str">
        <f t="shared" si="5"/>
        <v>midum</v>
      </c>
    </row>
    <row r="107" spans="1:18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t="str">
        <f t="shared" si="4"/>
        <v>Low price</v>
      </c>
      <c r="Q107" t="str" cm="1">
        <f t="array" ref="Q107">_xlfn.IFS(N107&gt;=10,"high",N107&gt;=5,"midum",N107&lt;5,"low")</f>
        <v>high</v>
      </c>
      <c r="R107" t="str">
        <f t="shared" si="5"/>
        <v>high</v>
      </c>
    </row>
    <row r="108" spans="1:18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t="str">
        <f t="shared" si="4"/>
        <v>Low price</v>
      </c>
      <c r="Q108" t="str" cm="1">
        <f t="array" ref="Q108">_xlfn.IFS(N108&gt;=10,"high",N108&gt;=5,"midum",N108&lt;5,"low")</f>
        <v>low</v>
      </c>
      <c r="R108" t="str">
        <f t="shared" si="5"/>
        <v>low</v>
      </c>
    </row>
    <row r="109" spans="1:18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t="str">
        <f t="shared" si="4"/>
        <v>Low price</v>
      </c>
      <c r="Q109" t="str" cm="1">
        <f t="array" ref="Q109">_xlfn.IFS(N109&gt;=10,"high",N109&gt;=5,"midum",N109&lt;5,"low")</f>
        <v>high</v>
      </c>
      <c r="R109" t="str">
        <f t="shared" si="5"/>
        <v>midum</v>
      </c>
    </row>
    <row r="110" spans="1:18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t="str">
        <f t="shared" si="4"/>
        <v>High price</v>
      </c>
      <c r="Q110" t="str" cm="1">
        <f t="array" ref="Q110">_xlfn.IFS(N110&gt;=10,"high",N110&gt;=5,"midum",N110&lt;5,"low")</f>
        <v>high</v>
      </c>
      <c r="R110" t="str">
        <f t="shared" si="5"/>
        <v>midum</v>
      </c>
    </row>
    <row r="111" spans="1:18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t="str">
        <f t="shared" si="4"/>
        <v>Low price</v>
      </c>
      <c r="Q111" t="str" cm="1">
        <f t="array" ref="Q111">_xlfn.IFS(N111&gt;=10,"high",N111&gt;=5,"midum",N111&lt;5,"low")</f>
        <v>high</v>
      </c>
      <c r="R111" t="str">
        <f t="shared" si="5"/>
        <v>low</v>
      </c>
    </row>
    <row r="112" spans="1:18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t="str">
        <f t="shared" si="4"/>
        <v>High price</v>
      </c>
      <c r="Q112" t="str" cm="1">
        <f t="array" ref="Q112">_xlfn.IFS(N112&gt;=10,"high",N112&gt;=5,"midum",N112&lt;5,"low")</f>
        <v>low</v>
      </c>
      <c r="R112" t="str">
        <f t="shared" si="5"/>
        <v>midum</v>
      </c>
    </row>
    <row r="113" spans="1:18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t="str">
        <f t="shared" si="4"/>
        <v>High price</v>
      </c>
      <c r="Q113" t="str" cm="1">
        <f t="array" ref="Q113">_xlfn.IFS(N113&gt;=10,"high",N113&gt;=5,"midum",N113&lt;5,"low")</f>
        <v>midum</v>
      </c>
      <c r="R113" t="str">
        <f t="shared" si="5"/>
        <v>midum</v>
      </c>
    </row>
    <row r="114" spans="1:18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t="str">
        <f t="shared" si="4"/>
        <v>Low price</v>
      </c>
      <c r="Q114" t="str" cm="1">
        <f t="array" ref="Q114">_xlfn.IFS(N114&gt;=10,"high",N114&gt;=5,"midum",N114&lt;5,"low")</f>
        <v>low</v>
      </c>
      <c r="R114" t="str">
        <f t="shared" si="5"/>
        <v>midum</v>
      </c>
    </row>
    <row r="115" spans="1:18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t="str">
        <f t="shared" si="4"/>
        <v>Low price</v>
      </c>
      <c r="Q115" t="str" cm="1">
        <f t="array" ref="Q115">_xlfn.IFS(N115&gt;=10,"high",N115&gt;=5,"midum",N115&lt;5,"low")</f>
        <v>low</v>
      </c>
      <c r="R115" t="str">
        <f t="shared" si="5"/>
        <v>midum</v>
      </c>
    </row>
    <row r="116" spans="1:18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t="str">
        <f t="shared" si="4"/>
        <v>Low price</v>
      </c>
      <c r="Q116" t="str" cm="1">
        <f t="array" ref="Q116">_xlfn.IFS(N116&gt;=10,"high",N116&gt;=5,"midum",N116&lt;5,"low")</f>
        <v>high</v>
      </c>
      <c r="R116" t="str">
        <f t="shared" si="5"/>
        <v>midum</v>
      </c>
    </row>
    <row r="117" spans="1:18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t="str">
        <f t="shared" si="4"/>
        <v>Low price</v>
      </c>
      <c r="Q117" t="str" cm="1">
        <f t="array" ref="Q117">_xlfn.IFS(N117&gt;=10,"high",N117&gt;=5,"midum",N117&lt;5,"low")</f>
        <v>high</v>
      </c>
      <c r="R117" t="str">
        <f t="shared" si="5"/>
        <v>high</v>
      </c>
    </row>
    <row r="118" spans="1:18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t="str">
        <f t="shared" si="4"/>
        <v>High price</v>
      </c>
      <c r="Q118" t="str" cm="1">
        <f t="array" ref="Q118">_xlfn.IFS(N118&gt;=10,"high",N118&gt;=5,"midum",N118&lt;5,"low")</f>
        <v>low</v>
      </c>
      <c r="R118" t="str">
        <f t="shared" si="5"/>
        <v>high</v>
      </c>
    </row>
    <row r="119" spans="1:18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t="str">
        <f t="shared" si="4"/>
        <v>High price</v>
      </c>
      <c r="Q119" t="str" cm="1">
        <f t="array" ref="Q119">_xlfn.IFS(N119&gt;=10,"high",N119&gt;=5,"midum",N119&lt;5,"low")</f>
        <v>midum</v>
      </c>
      <c r="R119" t="str">
        <f t="shared" si="5"/>
        <v>high</v>
      </c>
    </row>
    <row r="120" spans="1:18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t="str">
        <f t="shared" si="4"/>
        <v>Low price</v>
      </c>
      <c r="Q120" t="str" cm="1">
        <f t="array" ref="Q120">_xlfn.IFS(N120&gt;=10,"high",N120&gt;=5,"midum",N120&lt;5,"low")</f>
        <v>high</v>
      </c>
      <c r="R120" t="str">
        <f t="shared" si="5"/>
        <v>midum</v>
      </c>
    </row>
    <row r="121" spans="1:18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t="str">
        <f t="shared" si="4"/>
        <v>Low price</v>
      </c>
      <c r="Q121" t="str" cm="1">
        <f t="array" ref="Q121">_xlfn.IFS(N121&gt;=10,"high",N121&gt;=5,"midum",N121&lt;5,"low")</f>
        <v>low</v>
      </c>
      <c r="R121" t="str">
        <f t="shared" si="5"/>
        <v>midum</v>
      </c>
    </row>
    <row r="122" spans="1:18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t="str">
        <f t="shared" si="4"/>
        <v>Low price</v>
      </c>
      <c r="Q122" t="str" cm="1">
        <f t="array" ref="Q122">_xlfn.IFS(N122&gt;=10,"high",N122&gt;=5,"midum",N122&lt;5,"low")</f>
        <v>low</v>
      </c>
      <c r="R122" t="str">
        <f t="shared" si="5"/>
        <v>low</v>
      </c>
    </row>
    <row r="123" spans="1:18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t="str">
        <f t="shared" si="4"/>
        <v>Low price</v>
      </c>
      <c r="Q123" t="str" cm="1">
        <f t="array" ref="Q123">_xlfn.IFS(N123&gt;=10,"high",N123&gt;=5,"midum",N123&lt;5,"low")</f>
        <v>midum</v>
      </c>
      <c r="R123" t="str">
        <f t="shared" si="5"/>
        <v>low</v>
      </c>
    </row>
    <row r="124" spans="1:18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t="str">
        <f t="shared" si="4"/>
        <v>Low price</v>
      </c>
      <c r="Q124" t="str" cm="1">
        <f t="array" ref="Q124">_xlfn.IFS(N124&gt;=10,"high",N124&gt;=5,"midum",N124&lt;5,"low")</f>
        <v>high</v>
      </c>
      <c r="R124" t="str">
        <f t="shared" si="5"/>
        <v>midum</v>
      </c>
    </row>
    <row r="125" spans="1:18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t="str">
        <f t="shared" si="4"/>
        <v>Low price</v>
      </c>
      <c r="Q125" t="str" cm="1">
        <f t="array" ref="Q125">_xlfn.IFS(N125&gt;=10,"high",N125&gt;=5,"midum",N125&lt;5,"low")</f>
        <v>low</v>
      </c>
      <c r="R125" t="str">
        <f t="shared" si="5"/>
        <v>low</v>
      </c>
    </row>
    <row r="126" spans="1:18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t="str">
        <f t="shared" si="4"/>
        <v>Low price</v>
      </c>
      <c r="Q126" t="str" cm="1">
        <f t="array" ref="Q126">_xlfn.IFS(N126&gt;=10,"high",N126&gt;=5,"midum",N126&lt;5,"low")</f>
        <v>low</v>
      </c>
      <c r="R126" t="str">
        <f t="shared" si="5"/>
        <v>low</v>
      </c>
    </row>
    <row r="127" spans="1:18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t="str">
        <f t="shared" si="4"/>
        <v>Low price</v>
      </c>
      <c r="Q127" t="str" cm="1">
        <f t="array" ref="Q127">_xlfn.IFS(N127&gt;=10,"high",N127&gt;=5,"midum",N127&lt;5,"low")</f>
        <v>midum</v>
      </c>
      <c r="R127" t="str">
        <f t="shared" si="5"/>
        <v>midum</v>
      </c>
    </row>
    <row r="128" spans="1:18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t="str">
        <f t="shared" si="4"/>
        <v>Low price</v>
      </c>
      <c r="Q128" t="str" cm="1">
        <f t="array" ref="Q128">_xlfn.IFS(N128&gt;=10,"high",N128&gt;=5,"midum",N128&lt;5,"low")</f>
        <v>low</v>
      </c>
      <c r="R128" t="str">
        <f t="shared" si="5"/>
        <v>midum</v>
      </c>
    </row>
    <row r="129" spans="1:18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t="str">
        <f t="shared" si="4"/>
        <v>Low price</v>
      </c>
      <c r="Q129" t="str" cm="1">
        <f t="array" ref="Q129">_xlfn.IFS(N129&gt;=10,"high",N129&gt;=5,"midum",N129&lt;5,"low")</f>
        <v>low</v>
      </c>
      <c r="R129" t="str">
        <f t="shared" si="5"/>
        <v>low</v>
      </c>
    </row>
    <row r="130" spans="1:18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t="str">
        <f t="shared" si="4"/>
        <v>Low price</v>
      </c>
      <c r="Q130" t="str" cm="1">
        <f t="array" ref="Q130">_xlfn.IFS(N130&gt;=10,"high",N130&gt;=5,"midum",N130&lt;5,"low")</f>
        <v>high</v>
      </c>
      <c r="R130" t="str">
        <f t="shared" si="5"/>
        <v>low</v>
      </c>
    </row>
    <row r="131" spans="1:18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M131*L131</f>
        <v>14261.64</v>
      </c>
      <c r="P131" t="str">
        <f t="shared" ref="P131:P194" si="7">IF(O131&gt;=15000,"High price","Low price")</f>
        <v>Low price</v>
      </c>
      <c r="Q131" t="str" cm="1">
        <f t="array" ref="Q131">_xlfn.IFS(N131&gt;=10,"high",N131&gt;=5,"midum",N131&lt;5,"low")</f>
        <v>high</v>
      </c>
      <c r="R131" t="str">
        <f t="shared" ref="R131:R194" si="8">IF(L131&gt;8,"high",IF(L131&gt;4,"midum","low"))</f>
        <v>low</v>
      </c>
    </row>
    <row r="132" spans="1:18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t="str">
        <f t="shared" si="7"/>
        <v>Low price</v>
      </c>
      <c r="Q132" t="str" cm="1">
        <f t="array" ref="Q132">_xlfn.IFS(N132&gt;=10,"high",N132&gt;=5,"midum",N132&lt;5,"low")</f>
        <v>high</v>
      </c>
      <c r="R132" t="str">
        <f t="shared" si="8"/>
        <v>low</v>
      </c>
    </row>
    <row r="133" spans="1:18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t="str">
        <f t="shared" si="7"/>
        <v>Low price</v>
      </c>
      <c r="Q133" t="str" cm="1">
        <f t="array" ref="Q133">_xlfn.IFS(N133&gt;=10,"high",N133&gt;=5,"midum",N133&lt;5,"low")</f>
        <v>low</v>
      </c>
      <c r="R133" t="str">
        <f t="shared" si="8"/>
        <v>low</v>
      </c>
    </row>
    <row r="134" spans="1:18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t="str">
        <f t="shared" si="7"/>
        <v>High price</v>
      </c>
      <c r="Q134" t="str" cm="1">
        <f t="array" ref="Q134">_xlfn.IFS(N134&gt;=10,"high",N134&gt;=5,"midum",N134&lt;5,"low")</f>
        <v>midum</v>
      </c>
      <c r="R134" t="str">
        <f t="shared" si="8"/>
        <v>midum</v>
      </c>
    </row>
    <row r="135" spans="1:18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t="str">
        <f t="shared" si="7"/>
        <v>High price</v>
      </c>
      <c r="Q135" t="str" cm="1">
        <f t="array" ref="Q135">_xlfn.IFS(N135&gt;=10,"high",N135&gt;=5,"midum",N135&lt;5,"low")</f>
        <v>high</v>
      </c>
      <c r="R135" t="str">
        <f t="shared" si="8"/>
        <v>midum</v>
      </c>
    </row>
    <row r="136" spans="1:18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t="str">
        <f t="shared" si="7"/>
        <v>Low price</v>
      </c>
      <c r="Q136" t="str" cm="1">
        <f t="array" ref="Q136">_xlfn.IFS(N136&gt;=10,"high",N136&gt;=5,"midum",N136&lt;5,"low")</f>
        <v>high</v>
      </c>
      <c r="R136" t="str">
        <f t="shared" si="8"/>
        <v>midum</v>
      </c>
    </row>
    <row r="137" spans="1:18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t="str">
        <f t="shared" si="7"/>
        <v>Low price</v>
      </c>
      <c r="Q137" t="str" cm="1">
        <f t="array" ref="Q137">_xlfn.IFS(N137&gt;=10,"high",N137&gt;=5,"midum",N137&lt;5,"low")</f>
        <v>high</v>
      </c>
      <c r="R137" t="str">
        <f t="shared" si="8"/>
        <v>low</v>
      </c>
    </row>
    <row r="138" spans="1:18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t="str">
        <f t="shared" si="7"/>
        <v>Low price</v>
      </c>
      <c r="Q138" t="str" cm="1">
        <f t="array" ref="Q138">_xlfn.IFS(N138&gt;=10,"high",N138&gt;=5,"midum",N138&lt;5,"low")</f>
        <v>midum</v>
      </c>
      <c r="R138" t="str">
        <f t="shared" si="8"/>
        <v>midum</v>
      </c>
    </row>
    <row r="139" spans="1:18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t="str">
        <f t="shared" si="7"/>
        <v>Low price</v>
      </c>
      <c r="Q139" t="str" cm="1">
        <f t="array" ref="Q139">_xlfn.IFS(N139&gt;=10,"high",N139&gt;=5,"midum",N139&lt;5,"low")</f>
        <v>high</v>
      </c>
      <c r="R139" t="str">
        <f t="shared" si="8"/>
        <v>low</v>
      </c>
    </row>
    <row r="140" spans="1:18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t="str">
        <f t="shared" si="7"/>
        <v>High price</v>
      </c>
      <c r="Q140" t="str" cm="1">
        <f t="array" ref="Q140">_xlfn.IFS(N140&gt;=10,"high",N140&gt;=5,"midum",N140&lt;5,"low")</f>
        <v>high</v>
      </c>
      <c r="R140" t="str">
        <f t="shared" si="8"/>
        <v>midum</v>
      </c>
    </row>
    <row r="141" spans="1:18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t="str">
        <f t="shared" si="7"/>
        <v>Low price</v>
      </c>
      <c r="Q141" t="str" cm="1">
        <f t="array" ref="Q141">_xlfn.IFS(N141&gt;=10,"high",N141&gt;=5,"midum",N141&lt;5,"low")</f>
        <v>low</v>
      </c>
      <c r="R141" t="str">
        <f t="shared" si="8"/>
        <v>low</v>
      </c>
    </row>
    <row r="142" spans="1:18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t="str">
        <f t="shared" si="7"/>
        <v>Low price</v>
      </c>
      <c r="Q142" t="str" cm="1">
        <f t="array" ref="Q142">_xlfn.IFS(N142&gt;=10,"high",N142&gt;=5,"midum",N142&lt;5,"low")</f>
        <v>high</v>
      </c>
      <c r="R142" t="str">
        <f t="shared" si="8"/>
        <v>midum</v>
      </c>
    </row>
    <row r="143" spans="1:18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t="str">
        <f t="shared" si="7"/>
        <v>Low price</v>
      </c>
      <c r="Q143" t="str" cm="1">
        <f t="array" ref="Q143">_xlfn.IFS(N143&gt;=10,"high",N143&gt;=5,"midum",N143&lt;5,"low")</f>
        <v>high</v>
      </c>
      <c r="R143" t="str">
        <f t="shared" si="8"/>
        <v>low</v>
      </c>
    </row>
    <row r="144" spans="1:18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t="str">
        <f t="shared" si="7"/>
        <v>Low price</v>
      </c>
      <c r="Q144" t="str" cm="1">
        <f t="array" ref="Q144">_xlfn.IFS(N144&gt;=10,"high",N144&gt;=5,"midum",N144&lt;5,"low")</f>
        <v>low</v>
      </c>
      <c r="R144" t="str">
        <f t="shared" si="8"/>
        <v>low</v>
      </c>
    </row>
    <row r="145" spans="1:18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t="str">
        <f t="shared" si="7"/>
        <v>Low price</v>
      </c>
      <c r="Q145" t="str" cm="1">
        <f t="array" ref="Q145">_xlfn.IFS(N145&gt;=10,"high",N145&gt;=5,"midum",N145&lt;5,"low")</f>
        <v>high</v>
      </c>
      <c r="R145" t="str">
        <f t="shared" si="8"/>
        <v>low</v>
      </c>
    </row>
    <row r="146" spans="1:18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t="str">
        <f t="shared" si="7"/>
        <v>Low price</v>
      </c>
      <c r="Q146" t="str" cm="1">
        <f t="array" ref="Q146">_xlfn.IFS(N146&gt;=10,"high",N146&gt;=5,"midum",N146&lt;5,"low")</f>
        <v>high</v>
      </c>
      <c r="R146" t="str">
        <f t="shared" si="8"/>
        <v>midum</v>
      </c>
    </row>
    <row r="147" spans="1:18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t="str">
        <f t="shared" si="7"/>
        <v>Low price</v>
      </c>
      <c r="Q147" t="str" cm="1">
        <f t="array" ref="Q147">_xlfn.IFS(N147&gt;=10,"high",N147&gt;=5,"midum",N147&lt;5,"low")</f>
        <v>low</v>
      </c>
      <c r="R147" t="str">
        <f t="shared" si="8"/>
        <v>midum</v>
      </c>
    </row>
    <row r="148" spans="1:18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t="str">
        <f t="shared" si="7"/>
        <v>High price</v>
      </c>
      <c r="Q148" t="str" cm="1">
        <f t="array" ref="Q148">_xlfn.IFS(N148&gt;=10,"high",N148&gt;=5,"midum",N148&lt;5,"low")</f>
        <v>high</v>
      </c>
      <c r="R148" t="str">
        <f t="shared" si="8"/>
        <v>midum</v>
      </c>
    </row>
    <row r="149" spans="1:18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t="str">
        <f t="shared" si="7"/>
        <v>High price</v>
      </c>
      <c r="Q149" t="str" cm="1">
        <f t="array" ref="Q149">_xlfn.IFS(N149&gt;=10,"high",N149&gt;=5,"midum",N149&lt;5,"low")</f>
        <v>low</v>
      </c>
      <c r="R149" t="str">
        <f t="shared" si="8"/>
        <v>midum</v>
      </c>
    </row>
    <row r="150" spans="1:18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t="str">
        <f t="shared" si="7"/>
        <v>Low price</v>
      </c>
      <c r="Q150" t="str" cm="1">
        <f t="array" ref="Q150">_xlfn.IFS(N150&gt;=10,"high",N150&gt;=5,"midum",N150&lt;5,"low")</f>
        <v>midum</v>
      </c>
      <c r="R150" t="str">
        <f t="shared" si="8"/>
        <v>low</v>
      </c>
    </row>
    <row r="151" spans="1:18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t="str">
        <f t="shared" si="7"/>
        <v>Low price</v>
      </c>
      <c r="Q151" t="str" cm="1">
        <f t="array" ref="Q151">_xlfn.IFS(N151&gt;=10,"high",N151&gt;=5,"midum",N151&lt;5,"low")</f>
        <v>high</v>
      </c>
      <c r="R151" t="str">
        <f t="shared" si="8"/>
        <v>midum</v>
      </c>
    </row>
    <row r="152" spans="1:18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t="str">
        <f t="shared" si="7"/>
        <v>Low price</v>
      </c>
      <c r="Q152" t="str" cm="1">
        <f t="array" ref="Q152">_xlfn.IFS(N152&gt;=10,"high",N152&gt;=5,"midum",N152&lt;5,"low")</f>
        <v>midum</v>
      </c>
      <c r="R152" t="str">
        <f t="shared" si="8"/>
        <v>midum</v>
      </c>
    </row>
    <row r="153" spans="1:18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t="str">
        <f t="shared" si="7"/>
        <v>Low price</v>
      </c>
      <c r="Q153" t="str" cm="1">
        <f t="array" ref="Q153">_xlfn.IFS(N153&gt;=10,"high",N153&gt;=5,"midum",N153&lt;5,"low")</f>
        <v>high</v>
      </c>
      <c r="R153" t="str">
        <f t="shared" si="8"/>
        <v>low</v>
      </c>
    </row>
    <row r="154" spans="1:18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t="str">
        <f t="shared" si="7"/>
        <v>Low price</v>
      </c>
      <c r="Q154" t="str" cm="1">
        <f t="array" ref="Q154">_xlfn.IFS(N154&gt;=10,"high",N154&gt;=5,"midum",N154&lt;5,"low")</f>
        <v>high</v>
      </c>
      <c r="R154" t="str">
        <f t="shared" si="8"/>
        <v>low</v>
      </c>
    </row>
    <row r="155" spans="1:18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t="str">
        <f t="shared" si="7"/>
        <v>Low price</v>
      </c>
      <c r="Q155" t="str" cm="1">
        <f t="array" ref="Q155">_xlfn.IFS(N155&gt;=10,"high",N155&gt;=5,"midum",N155&lt;5,"low")</f>
        <v>high</v>
      </c>
      <c r="R155" t="str">
        <f t="shared" si="8"/>
        <v>low</v>
      </c>
    </row>
    <row r="156" spans="1:18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t="str">
        <f t="shared" si="7"/>
        <v>Low price</v>
      </c>
      <c r="Q156" t="str" cm="1">
        <f t="array" ref="Q156">_xlfn.IFS(N156&gt;=10,"high",N156&gt;=5,"midum",N156&lt;5,"low")</f>
        <v>low</v>
      </c>
      <c r="R156" t="str">
        <f t="shared" si="8"/>
        <v>midum</v>
      </c>
    </row>
    <row r="157" spans="1:18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t="str">
        <f t="shared" si="7"/>
        <v>Low price</v>
      </c>
      <c r="Q157" t="str" cm="1">
        <f t="array" ref="Q157">_xlfn.IFS(N157&gt;=10,"high",N157&gt;=5,"midum",N157&lt;5,"low")</f>
        <v>high</v>
      </c>
      <c r="R157" t="str">
        <f t="shared" si="8"/>
        <v>midum</v>
      </c>
    </row>
    <row r="158" spans="1:18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t="str">
        <f t="shared" si="7"/>
        <v>Low price</v>
      </c>
      <c r="Q158" t="str" cm="1">
        <f t="array" ref="Q158">_xlfn.IFS(N158&gt;=10,"high",N158&gt;=5,"midum",N158&lt;5,"low")</f>
        <v>midum</v>
      </c>
      <c r="R158" t="str">
        <f t="shared" si="8"/>
        <v>midum</v>
      </c>
    </row>
    <row r="159" spans="1:18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t="str">
        <f t="shared" si="7"/>
        <v>High price</v>
      </c>
      <c r="Q159" t="str" cm="1">
        <f t="array" ref="Q159">_xlfn.IFS(N159&gt;=10,"high",N159&gt;=5,"midum",N159&lt;5,"low")</f>
        <v>midum</v>
      </c>
      <c r="R159" t="str">
        <f t="shared" si="8"/>
        <v>midum</v>
      </c>
    </row>
    <row r="160" spans="1:18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t="str">
        <f t="shared" si="7"/>
        <v>High price</v>
      </c>
      <c r="Q160" t="str" cm="1">
        <f t="array" ref="Q160">_xlfn.IFS(N160&gt;=10,"high",N160&gt;=5,"midum",N160&lt;5,"low")</f>
        <v>midum</v>
      </c>
      <c r="R160" t="str">
        <f t="shared" si="8"/>
        <v>midum</v>
      </c>
    </row>
    <row r="161" spans="1:18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t="str">
        <f t="shared" si="7"/>
        <v>High price</v>
      </c>
      <c r="Q161" t="str" cm="1">
        <f t="array" ref="Q161">_xlfn.IFS(N161&gt;=10,"high",N161&gt;=5,"midum",N161&lt;5,"low")</f>
        <v>high</v>
      </c>
      <c r="R161" t="str">
        <f t="shared" si="8"/>
        <v>high</v>
      </c>
    </row>
    <row r="162" spans="1:18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t="str">
        <f t="shared" si="7"/>
        <v>Low price</v>
      </c>
      <c r="Q162" t="str" cm="1">
        <f t="array" ref="Q162">_xlfn.IFS(N162&gt;=10,"high",N162&gt;=5,"midum",N162&lt;5,"low")</f>
        <v>midum</v>
      </c>
      <c r="R162" t="str">
        <f t="shared" si="8"/>
        <v>low</v>
      </c>
    </row>
    <row r="163" spans="1:18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t="str">
        <f t="shared" si="7"/>
        <v>Low price</v>
      </c>
      <c r="Q163" t="str" cm="1">
        <f t="array" ref="Q163">_xlfn.IFS(N163&gt;=10,"high",N163&gt;=5,"midum",N163&lt;5,"low")</f>
        <v>high</v>
      </c>
      <c r="R163" t="str">
        <f t="shared" si="8"/>
        <v>low</v>
      </c>
    </row>
    <row r="164" spans="1:18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t="str">
        <f t="shared" si="7"/>
        <v>Low price</v>
      </c>
      <c r="Q164" t="str" cm="1">
        <f t="array" ref="Q164">_xlfn.IFS(N164&gt;=10,"high",N164&gt;=5,"midum",N164&lt;5,"low")</f>
        <v>high</v>
      </c>
      <c r="R164" t="str">
        <f t="shared" si="8"/>
        <v>low</v>
      </c>
    </row>
    <row r="165" spans="1:18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t="str">
        <f t="shared" si="7"/>
        <v>Low price</v>
      </c>
      <c r="Q165" t="str" cm="1">
        <f t="array" ref="Q165">_xlfn.IFS(N165&gt;=10,"high",N165&gt;=5,"midum",N165&lt;5,"low")</f>
        <v>high</v>
      </c>
      <c r="R165" t="str">
        <f t="shared" si="8"/>
        <v>midum</v>
      </c>
    </row>
    <row r="166" spans="1:18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t="str">
        <f t="shared" si="7"/>
        <v>Low price</v>
      </c>
      <c r="Q166" t="str" cm="1">
        <f t="array" ref="Q166">_xlfn.IFS(N166&gt;=10,"high",N166&gt;=5,"midum",N166&lt;5,"low")</f>
        <v>high</v>
      </c>
      <c r="R166" t="str">
        <f t="shared" si="8"/>
        <v>high</v>
      </c>
    </row>
    <row r="167" spans="1:18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t="str">
        <f t="shared" si="7"/>
        <v>High price</v>
      </c>
      <c r="Q167" t="str" cm="1">
        <f t="array" ref="Q167">_xlfn.IFS(N167&gt;=10,"high",N167&gt;=5,"midum",N167&lt;5,"low")</f>
        <v>high</v>
      </c>
      <c r="R167" t="str">
        <f t="shared" si="8"/>
        <v>midum</v>
      </c>
    </row>
    <row r="168" spans="1:18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t="str">
        <f t="shared" si="7"/>
        <v>Low price</v>
      </c>
      <c r="Q168" t="str" cm="1">
        <f t="array" ref="Q168">_xlfn.IFS(N168&gt;=10,"high",N168&gt;=5,"midum",N168&lt;5,"low")</f>
        <v>high</v>
      </c>
      <c r="R168" t="str">
        <f t="shared" si="8"/>
        <v>midum</v>
      </c>
    </row>
    <row r="169" spans="1:18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t="str">
        <f t="shared" si="7"/>
        <v>Low price</v>
      </c>
      <c r="Q169" t="str" cm="1">
        <f t="array" ref="Q169">_xlfn.IFS(N169&gt;=10,"high",N169&gt;=5,"midum",N169&lt;5,"low")</f>
        <v>high</v>
      </c>
      <c r="R169" t="str">
        <f t="shared" si="8"/>
        <v>midum</v>
      </c>
    </row>
    <row r="170" spans="1:18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t="str">
        <f t="shared" si="7"/>
        <v>Low price</v>
      </c>
      <c r="Q170" t="str" cm="1">
        <f t="array" ref="Q170">_xlfn.IFS(N170&gt;=10,"high",N170&gt;=5,"midum",N170&lt;5,"low")</f>
        <v>high</v>
      </c>
      <c r="R170" t="str">
        <f t="shared" si="8"/>
        <v>midum</v>
      </c>
    </row>
    <row r="171" spans="1:18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t="str">
        <f t="shared" si="7"/>
        <v>Low price</v>
      </c>
      <c r="Q171" t="str" cm="1">
        <f t="array" ref="Q171">_xlfn.IFS(N171&gt;=10,"high",N171&gt;=5,"midum",N171&lt;5,"low")</f>
        <v>low</v>
      </c>
      <c r="R171" t="str">
        <f t="shared" si="8"/>
        <v>midum</v>
      </c>
    </row>
    <row r="172" spans="1:18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t="str">
        <f t="shared" si="7"/>
        <v>Low price</v>
      </c>
      <c r="Q172" t="str" cm="1">
        <f t="array" ref="Q172">_xlfn.IFS(N172&gt;=10,"high",N172&gt;=5,"midum",N172&lt;5,"low")</f>
        <v>low</v>
      </c>
      <c r="R172" t="str">
        <f t="shared" si="8"/>
        <v>low</v>
      </c>
    </row>
    <row r="173" spans="1:18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t="str">
        <f t="shared" si="7"/>
        <v>Low price</v>
      </c>
      <c r="Q173" t="str" cm="1">
        <f t="array" ref="Q173">_xlfn.IFS(N173&gt;=10,"high",N173&gt;=5,"midum",N173&lt;5,"low")</f>
        <v>high</v>
      </c>
      <c r="R173" t="str">
        <f t="shared" si="8"/>
        <v>low</v>
      </c>
    </row>
    <row r="174" spans="1:18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t="str">
        <f t="shared" si="7"/>
        <v>Low price</v>
      </c>
      <c r="Q174" t="str" cm="1">
        <f t="array" ref="Q174">_xlfn.IFS(N174&gt;=10,"high",N174&gt;=5,"midum",N174&lt;5,"low")</f>
        <v>high</v>
      </c>
      <c r="R174" t="str">
        <f t="shared" si="8"/>
        <v>low</v>
      </c>
    </row>
    <row r="175" spans="1:18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t="str">
        <f t="shared" si="7"/>
        <v>Low price</v>
      </c>
      <c r="Q175" t="str" cm="1">
        <f t="array" ref="Q175">_xlfn.IFS(N175&gt;=10,"high",N175&gt;=5,"midum",N175&lt;5,"low")</f>
        <v>midum</v>
      </c>
      <c r="R175" t="str">
        <f t="shared" si="8"/>
        <v>low</v>
      </c>
    </row>
    <row r="176" spans="1:18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t="str">
        <f t="shared" si="7"/>
        <v>Low price</v>
      </c>
      <c r="Q176" t="str" cm="1">
        <f t="array" ref="Q176">_xlfn.IFS(N176&gt;=10,"high",N176&gt;=5,"midum",N176&lt;5,"low")</f>
        <v>high</v>
      </c>
      <c r="R176" t="str">
        <f t="shared" si="8"/>
        <v>midum</v>
      </c>
    </row>
    <row r="177" spans="1:18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t="str">
        <f t="shared" si="7"/>
        <v>Low price</v>
      </c>
      <c r="Q177" t="str" cm="1">
        <f t="array" ref="Q177">_xlfn.IFS(N177&gt;=10,"high",N177&gt;=5,"midum",N177&lt;5,"low")</f>
        <v>high</v>
      </c>
      <c r="R177" t="str">
        <f t="shared" si="8"/>
        <v>low</v>
      </c>
    </row>
    <row r="178" spans="1:18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t="str">
        <f t="shared" si="7"/>
        <v>Low price</v>
      </c>
      <c r="Q178" t="str" cm="1">
        <f t="array" ref="Q178">_xlfn.IFS(N178&gt;=10,"high",N178&gt;=5,"midum",N178&lt;5,"low")</f>
        <v>high</v>
      </c>
      <c r="R178" t="str">
        <f t="shared" si="8"/>
        <v>low</v>
      </c>
    </row>
    <row r="179" spans="1:18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t="str">
        <f t="shared" si="7"/>
        <v>Low price</v>
      </c>
      <c r="Q179" t="str" cm="1">
        <f t="array" ref="Q179">_xlfn.IFS(N179&gt;=10,"high",N179&gt;=5,"midum",N179&lt;5,"low")</f>
        <v>high</v>
      </c>
      <c r="R179" t="str">
        <f t="shared" si="8"/>
        <v>low</v>
      </c>
    </row>
    <row r="180" spans="1:18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t="str">
        <f t="shared" si="7"/>
        <v>Low price</v>
      </c>
      <c r="Q180" t="str" cm="1">
        <f t="array" ref="Q180">_xlfn.IFS(N180&gt;=10,"high",N180&gt;=5,"midum",N180&lt;5,"low")</f>
        <v>high</v>
      </c>
      <c r="R180" t="str">
        <f t="shared" si="8"/>
        <v>midum</v>
      </c>
    </row>
    <row r="181" spans="1:18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t="str">
        <f t="shared" si="7"/>
        <v>High price</v>
      </c>
      <c r="Q181" t="str" cm="1">
        <f t="array" ref="Q181">_xlfn.IFS(N181&gt;=10,"high",N181&gt;=5,"midum",N181&lt;5,"low")</f>
        <v>low</v>
      </c>
      <c r="R181" t="str">
        <f t="shared" si="8"/>
        <v>midum</v>
      </c>
    </row>
    <row r="182" spans="1:18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t="str">
        <f t="shared" si="7"/>
        <v>Low price</v>
      </c>
      <c r="Q182" t="str" cm="1">
        <f t="array" ref="Q182">_xlfn.IFS(N182&gt;=10,"high",N182&gt;=5,"midum",N182&lt;5,"low")</f>
        <v>high</v>
      </c>
      <c r="R182" t="str">
        <f t="shared" si="8"/>
        <v>low</v>
      </c>
    </row>
    <row r="183" spans="1:18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t="str">
        <f t="shared" si="7"/>
        <v>Low price</v>
      </c>
      <c r="Q183" t="str" cm="1">
        <f t="array" ref="Q183">_xlfn.IFS(N183&gt;=10,"high",N183&gt;=5,"midum",N183&lt;5,"low")</f>
        <v>high</v>
      </c>
      <c r="R183" t="str">
        <f t="shared" si="8"/>
        <v>midum</v>
      </c>
    </row>
    <row r="184" spans="1:18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t="str">
        <f t="shared" si="7"/>
        <v>Low price</v>
      </c>
      <c r="Q184" t="str" cm="1">
        <f t="array" ref="Q184">_xlfn.IFS(N184&gt;=10,"high",N184&gt;=5,"midum",N184&lt;5,"low")</f>
        <v>high</v>
      </c>
      <c r="R184" t="str">
        <f t="shared" si="8"/>
        <v>low</v>
      </c>
    </row>
    <row r="185" spans="1:18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t="str">
        <f t="shared" si="7"/>
        <v>Low price</v>
      </c>
      <c r="Q185" t="str" cm="1">
        <f t="array" ref="Q185">_xlfn.IFS(N185&gt;=10,"high",N185&gt;=5,"midum",N185&lt;5,"low")</f>
        <v>high</v>
      </c>
      <c r="R185" t="str">
        <f t="shared" si="8"/>
        <v>low</v>
      </c>
    </row>
    <row r="186" spans="1:18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t="str">
        <f t="shared" si="7"/>
        <v>High price</v>
      </c>
      <c r="Q186" t="str" cm="1">
        <f t="array" ref="Q186">_xlfn.IFS(N186&gt;=10,"high",N186&gt;=5,"midum",N186&lt;5,"low")</f>
        <v>high</v>
      </c>
      <c r="R186" t="str">
        <f t="shared" si="8"/>
        <v>midum</v>
      </c>
    </row>
    <row r="187" spans="1:18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t="str">
        <f t="shared" si="7"/>
        <v>High price</v>
      </c>
      <c r="Q187" t="str" cm="1">
        <f t="array" ref="Q187">_xlfn.IFS(N187&gt;=10,"high",N187&gt;=5,"midum",N187&lt;5,"low")</f>
        <v>low</v>
      </c>
      <c r="R187" t="str">
        <f t="shared" si="8"/>
        <v>high</v>
      </c>
    </row>
    <row r="188" spans="1:18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t="str">
        <f t="shared" si="7"/>
        <v>Low price</v>
      </c>
      <c r="Q188" t="str" cm="1">
        <f t="array" ref="Q188">_xlfn.IFS(N188&gt;=10,"high",N188&gt;=5,"midum",N188&lt;5,"low")</f>
        <v>high</v>
      </c>
      <c r="R188" t="str">
        <f t="shared" si="8"/>
        <v>midum</v>
      </c>
    </row>
    <row r="189" spans="1:18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t="str">
        <f t="shared" si="7"/>
        <v>Low price</v>
      </c>
      <c r="Q189" t="str" cm="1">
        <f t="array" ref="Q189">_xlfn.IFS(N189&gt;=10,"high",N189&gt;=5,"midum",N189&lt;5,"low")</f>
        <v>high</v>
      </c>
      <c r="R189" t="str">
        <f t="shared" si="8"/>
        <v>midum</v>
      </c>
    </row>
    <row r="190" spans="1:18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t="str">
        <f t="shared" si="7"/>
        <v>Low price</v>
      </c>
      <c r="Q190" t="str" cm="1">
        <f t="array" ref="Q190">_xlfn.IFS(N190&gt;=10,"high",N190&gt;=5,"midum",N190&lt;5,"low")</f>
        <v>high</v>
      </c>
      <c r="R190" t="str">
        <f t="shared" si="8"/>
        <v>midum</v>
      </c>
    </row>
    <row r="191" spans="1:18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t="str">
        <f t="shared" si="7"/>
        <v>High price</v>
      </c>
      <c r="Q191" t="str" cm="1">
        <f t="array" ref="Q191">_xlfn.IFS(N191&gt;=10,"high",N191&gt;=5,"midum",N191&lt;5,"low")</f>
        <v>high</v>
      </c>
      <c r="R191" t="str">
        <f t="shared" si="8"/>
        <v>midum</v>
      </c>
    </row>
    <row r="192" spans="1:18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t="str">
        <f t="shared" si="7"/>
        <v>High price</v>
      </c>
      <c r="Q192" t="str" cm="1">
        <f t="array" ref="Q192">_xlfn.IFS(N192&gt;=10,"high",N192&gt;=5,"midum",N192&lt;5,"low")</f>
        <v>high</v>
      </c>
      <c r="R192" t="str">
        <f t="shared" si="8"/>
        <v>midum</v>
      </c>
    </row>
    <row r="193" spans="1:18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t="str">
        <f t="shared" si="7"/>
        <v>Low price</v>
      </c>
      <c r="Q193" t="str" cm="1">
        <f t="array" ref="Q193">_xlfn.IFS(N193&gt;=10,"high",N193&gt;=5,"midum",N193&lt;5,"low")</f>
        <v>high</v>
      </c>
      <c r="R193" t="str">
        <f t="shared" si="8"/>
        <v>low</v>
      </c>
    </row>
    <row r="194" spans="1:18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t="str">
        <f t="shared" si="7"/>
        <v>Low price</v>
      </c>
      <c r="Q194" t="str" cm="1">
        <f t="array" ref="Q194">_xlfn.IFS(N194&gt;=10,"high",N194&gt;=5,"midum",N194&lt;5,"low")</f>
        <v>high</v>
      </c>
      <c r="R194" t="str">
        <f t="shared" si="8"/>
        <v>low</v>
      </c>
    </row>
    <row r="195" spans="1:18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M195*L195</f>
        <v>3167.1499999999996</v>
      </c>
      <c r="P195" t="str">
        <f t="shared" ref="P195:P258" si="10">IF(O195&gt;=15000,"High price","Low price")</f>
        <v>Low price</v>
      </c>
      <c r="Q195" t="str" cm="1">
        <f t="array" ref="Q195">_xlfn.IFS(N195&gt;=10,"high",N195&gt;=5,"midum",N195&lt;5,"low")</f>
        <v>high</v>
      </c>
      <c r="R195" t="str">
        <f t="shared" ref="R195:R258" si="11">IF(L195&gt;8,"high",IF(L195&gt;4,"midum","low"))</f>
        <v>midum</v>
      </c>
    </row>
    <row r="196" spans="1:18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t="str">
        <f t="shared" si="10"/>
        <v>Low price</v>
      </c>
      <c r="Q196" t="str" cm="1">
        <f t="array" ref="Q196">_xlfn.IFS(N196&gt;=10,"high",N196&gt;=5,"midum",N196&lt;5,"low")</f>
        <v>midum</v>
      </c>
      <c r="R196" t="str">
        <f t="shared" si="11"/>
        <v>midum</v>
      </c>
    </row>
    <row r="197" spans="1:18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t="str">
        <f t="shared" si="10"/>
        <v>Low price</v>
      </c>
      <c r="Q197" t="str" cm="1">
        <f t="array" ref="Q197">_xlfn.IFS(N197&gt;=10,"high",N197&gt;=5,"midum",N197&lt;5,"low")</f>
        <v>high</v>
      </c>
      <c r="R197" t="str">
        <f t="shared" si="11"/>
        <v>low</v>
      </c>
    </row>
    <row r="198" spans="1:18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t="str">
        <f t="shared" si="10"/>
        <v>Low price</v>
      </c>
      <c r="Q198" t="str" cm="1">
        <f t="array" ref="Q198">_xlfn.IFS(N198&gt;=10,"high",N198&gt;=5,"midum",N198&lt;5,"low")</f>
        <v>low</v>
      </c>
      <c r="R198" t="str">
        <f t="shared" si="11"/>
        <v>low</v>
      </c>
    </row>
    <row r="199" spans="1:18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t="str">
        <f t="shared" si="10"/>
        <v>High price</v>
      </c>
      <c r="Q199" t="str" cm="1">
        <f t="array" ref="Q199">_xlfn.IFS(N199&gt;=10,"high",N199&gt;=5,"midum",N199&lt;5,"low")</f>
        <v>low</v>
      </c>
      <c r="R199" t="str">
        <f t="shared" si="11"/>
        <v>midum</v>
      </c>
    </row>
    <row r="200" spans="1:18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t="str">
        <f t="shared" si="10"/>
        <v>High price</v>
      </c>
      <c r="Q200" t="str" cm="1">
        <f t="array" ref="Q200">_xlfn.IFS(N200&gt;=10,"high",N200&gt;=5,"midum",N200&lt;5,"low")</f>
        <v>high</v>
      </c>
      <c r="R200" t="str">
        <f t="shared" si="11"/>
        <v>midum</v>
      </c>
    </row>
    <row r="201" spans="1:18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t="str">
        <f t="shared" si="10"/>
        <v>Low price</v>
      </c>
      <c r="Q201" t="str" cm="1">
        <f t="array" ref="Q201">_xlfn.IFS(N201&gt;=10,"high",N201&gt;=5,"midum",N201&lt;5,"low")</f>
        <v>high</v>
      </c>
      <c r="R201" t="str">
        <f t="shared" si="11"/>
        <v>midum</v>
      </c>
    </row>
    <row r="202" spans="1:18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t="str">
        <f t="shared" si="10"/>
        <v>Low price</v>
      </c>
      <c r="Q202" t="str" cm="1">
        <f t="array" ref="Q202">_xlfn.IFS(N202&gt;=10,"high",N202&gt;=5,"midum",N202&lt;5,"low")</f>
        <v>midum</v>
      </c>
      <c r="R202" t="str">
        <f t="shared" si="11"/>
        <v>midum</v>
      </c>
    </row>
    <row r="203" spans="1:18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t="str">
        <f t="shared" si="10"/>
        <v>High price</v>
      </c>
      <c r="Q203" t="str" cm="1">
        <f t="array" ref="Q203">_xlfn.IFS(N203&gt;=10,"high",N203&gt;=5,"midum",N203&lt;5,"low")</f>
        <v>low</v>
      </c>
      <c r="R203" t="str">
        <f t="shared" si="11"/>
        <v>midum</v>
      </c>
    </row>
    <row r="204" spans="1:18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t="str">
        <f t="shared" si="10"/>
        <v>Low price</v>
      </c>
      <c r="Q204" t="str" cm="1">
        <f t="array" ref="Q204">_xlfn.IFS(N204&gt;=10,"high",N204&gt;=5,"midum",N204&lt;5,"low")</f>
        <v>high</v>
      </c>
      <c r="R204" t="str">
        <f t="shared" si="11"/>
        <v>low</v>
      </c>
    </row>
    <row r="205" spans="1:18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t="str">
        <f t="shared" si="10"/>
        <v>Low price</v>
      </c>
      <c r="Q205" t="str" cm="1">
        <f t="array" ref="Q205">_xlfn.IFS(N205&gt;=10,"high",N205&gt;=5,"midum",N205&lt;5,"low")</f>
        <v>midum</v>
      </c>
      <c r="R205" t="str">
        <f t="shared" si="11"/>
        <v>low</v>
      </c>
    </row>
    <row r="206" spans="1:18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t="str">
        <f t="shared" si="10"/>
        <v>Low price</v>
      </c>
      <c r="Q206" t="str" cm="1">
        <f t="array" ref="Q206">_xlfn.IFS(N206&gt;=10,"high",N206&gt;=5,"midum",N206&lt;5,"low")</f>
        <v>high</v>
      </c>
      <c r="R206" t="str">
        <f t="shared" si="11"/>
        <v>midum</v>
      </c>
    </row>
    <row r="207" spans="1:18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t="str">
        <f t="shared" si="10"/>
        <v>High price</v>
      </c>
      <c r="Q207" t="str" cm="1">
        <f t="array" ref="Q207">_xlfn.IFS(N207&gt;=10,"high",N207&gt;=5,"midum",N207&lt;5,"low")</f>
        <v>high</v>
      </c>
      <c r="R207" t="str">
        <f t="shared" si="11"/>
        <v>high</v>
      </c>
    </row>
    <row r="208" spans="1:18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t="str">
        <f t="shared" si="10"/>
        <v>Low price</v>
      </c>
      <c r="Q208" t="str" cm="1">
        <f t="array" ref="Q208">_xlfn.IFS(N208&gt;=10,"high",N208&gt;=5,"midum",N208&lt;5,"low")</f>
        <v>high</v>
      </c>
      <c r="R208" t="str">
        <f t="shared" si="11"/>
        <v>midum</v>
      </c>
    </row>
    <row r="209" spans="1:18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t="str">
        <f t="shared" si="10"/>
        <v>Low price</v>
      </c>
      <c r="Q209" t="str" cm="1">
        <f t="array" ref="Q209">_xlfn.IFS(N209&gt;=10,"high",N209&gt;=5,"midum",N209&lt;5,"low")</f>
        <v>high</v>
      </c>
      <c r="R209" t="str">
        <f t="shared" si="11"/>
        <v>low</v>
      </c>
    </row>
    <row r="210" spans="1:18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t="str">
        <f t="shared" si="10"/>
        <v>Low price</v>
      </c>
      <c r="Q210" t="str" cm="1">
        <f t="array" ref="Q210">_xlfn.IFS(N210&gt;=10,"high",N210&gt;=5,"midum",N210&lt;5,"low")</f>
        <v>high</v>
      </c>
      <c r="R210" t="str">
        <f t="shared" si="11"/>
        <v>high</v>
      </c>
    </row>
    <row r="211" spans="1:18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t="str">
        <f t="shared" si="10"/>
        <v>Low price</v>
      </c>
      <c r="Q211" t="str" cm="1">
        <f t="array" ref="Q211">_xlfn.IFS(N211&gt;=10,"high",N211&gt;=5,"midum",N211&lt;5,"low")</f>
        <v>low</v>
      </c>
      <c r="R211" t="str">
        <f t="shared" si="11"/>
        <v>midum</v>
      </c>
    </row>
    <row r="212" spans="1:18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t="str">
        <f t="shared" si="10"/>
        <v>Low price</v>
      </c>
      <c r="Q212" t="str" cm="1">
        <f t="array" ref="Q212">_xlfn.IFS(N212&gt;=10,"high",N212&gt;=5,"midum",N212&lt;5,"low")</f>
        <v>high</v>
      </c>
      <c r="R212" t="str">
        <f t="shared" si="11"/>
        <v>low</v>
      </c>
    </row>
    <row r="213" spans="1:18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t="str">
        <f t="shared" si="10"/>
        <v>Low price</v>
      </c>
      <c r="Q213" t="str" cm="1">
        <f t="array" ref="Q213">_xlfn.IFS(N213&gt;=10,"high",N213&gt;=5,"midum",N213&lt;5,"low")</f>
        <v>low</v>
      </c>
      <c r="R213" t="str">
        <f t="shared" si="11"/>
        <v>low</v>
      </c>
    </row>
    <row r="214" spans="1:18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t="str">
        <f t="shared" si="10"/>
        <v>Low price</v>
      </c>
      <c r="Q214" t="str" cm="1">
        <f t="array" ref="Q214">_xlfn.IFS(N214&gt;=10,"high",N214&gt;=5,"midum",N214&lt;5,"low")</f>
        <v>high</v>
      </c>
      <c r="R214" t="str">
        <f t="shared" si="11"/>
        <v>midum</v>
      </c>
    </row>
    <row r="215" spans="1:18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t="str">
        <f t="shared" si="10"/>
        <v>Low price</v>
      </c>
      <c r="Q215" t="str" cm="1">
        <f t="array" ref="Q215">_xlfn.IFS(N215&gt;=10,"high",N215&gt;=5,"midum",N215&lt;5,"low")</f>
        <v>midum</v>
      </c>
      <c r="R215" t="str">
        <f t="shared" si="11"/>
        <v>low</v>
      </c>
    </row>
    <row r="216" spans="1:18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t="str">
        <f t="shared" si="10"/>
        <v>Low price</v>
      </c>
      <c r="Q216" t="str" cm="1">
        <f t="array" ref="Q216">_xlfn.IFS(N216&gt;=10,"high",N216&gt;=5,"midum",N216&lt;5,"low")</f>
        <v>high</v>
      </c>
      <c r="R216" t="str">
        <f t="shared" si="11"/>
        <v>midum</v>
      </c>
    </row>
    <row r="217" spans="1:18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t="str">
        <f t="shared" si="10"/>
        <v>High price</v>
      </c>
      <c r="Q217" t="str" cm="1">
        <f t="array" ref="Q217">_xlfn.IFS(N217&gt;=10,"high",N217&gt;=5,"midum",N217&lt;5,"low")</f>
        <v>high</v>
      </c>
      <c r="R217" t="str">
        <f t="shared" si="11"/>
        <v>midum</v>
      </c>
    </row>
    <row r="218" spans="1:18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t="str">
        <f t="shared" si="10"/>
        <v>Low price</v>
      </c>
      <c r="Q218" t="str" cm="1">
        <f t="array" ref="Q218">_xlfn.IFS(N218&gt;=10,"high",N218&gt;=5,"midum",N218&lt;5,"low")</f>
        <v>low</v>
      </c>
      <c r="R218" t="str">
        <f t="shared" si="11"/>
        <v>low</v>
      </c>
    </row>
    <row r="219" spans="1:18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t="str">
        <f t="shared" si="10"/>
        <v>Low price</v>
      </c>
      <c r="Q219" t="str" cm="1">
        <f t="array" ref="Q219">_xlfn.IFS(N219&gt;=10,"high",N219&gt;=5,"midum",N219&lt;5,"low")</f>
        <v>high</v>
      </c>
      <c r="R219" t="str">
        <f t="shared" si="11"/>
        <v>midum</v>
      </c>
    </row>
    <row r="220" spans="1:18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t="str">
        <f t="shared" si="10"/>
        <v>Low price</v>
      </c>
      <c r="Q220" t="str" cm="1">
        <f t="array" ref="Q220">_xlfn.IFS(N220&gt;=10,"high",N220&gt;=5,"midum",N220&lt;5,"low")</f>
        <v>high</v>
      </c>
      <c r="R220" t="str">
        <f t="shared" si="11"/>
        <v>low</v>
      </c>
    </row>
    <row r="221" spans="1:18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t="str">
        <f t="shared" si="10"/>
        <v>Low price</v>
      </c>
      <c r="Q221" t="str" cm="1">
        <f t="array" ref="Q221">_xlfn.IFS(N221&gt;=10,"high",N221&gt;=5,"midum",N221&lt;5,"low")</f>
        <v>high</v>
      </c>
      <c r="R221" t="str">
        <f t="shared" si="11"/>
        <v>midum</v>
      </c>
    </row>
    <row r="222" spans="1:18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t="str">
        <f t="shared" si="10"/>
        <v>Low price</v>
      </c>
      <c r="Q222" t="str" cm="1">
        <f t="array" ref="Q222">_xlfn.IFS(N222&gt;=10,"high",N222&gt;=5,"midum",N222&lt;5,"low")</f>
        <v>low</v>
      </c>
      <c r="R222" t="str">
        <f t="shared" si="11"/>
        <v>low</v>
      </c>
    </row>
    <row r="223" spans="1:18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t="str">
        <f t="shared" si="10"/>
        <v>Low price</v>
      </c>
      <c r="Q223" t="str" cm="1">
        <f t="array" ref="Q223">_xlfn.IFS(N223&gt;=10,"high",N223&gt;=5,"midum",N223&lt;5,"low")</f>
        <v>midum</v>
      </c>
      <c r="R223" t="str">
        <f t="shared" si="11"/>
        <v>low</v>
      </c>
    </row>
    <row r="224" spans="1:18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t="str">
        <f t="shared" si="10"/>
        <v>Low price</v>
      </c>
      <c r="Q224" t="str" cm="1">
        <f t="array" ref="Q224">_xlfn.IFS(N224&gt;=10,"high",N224&gt;=5,"midum",N224&lt;5,"low")</f>
        <v>midum</v>
      </c>
      <c r="R224" t="str">
        <f t="shared" si="11"/>
        <v>low</v>
      </c>
    </row>
    <row r="225" spans="1:18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t="str">
        <f t="shared" si="10"/>
        <v>Low price</v>
      </c>
      <c r="Q225" t="str" cm="1">
        <f t="array" ref="Q225">_xlfn.IFS(N225&gt;=10,"high",N225&gt;=5,"midum",N225&lt;5,"low")</f>
        <v>low</v>
      </c>
      <c r="R225" t="str">
        <f t="shared" si="11"/>
        <v>low</v>
      </c>
    </row>
    <row r="226" spans="1:18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t="str">
        <f t="shared" si="10"/>
        <v>High price</v>
      </c>
      <c r="Q226" t="str" cm="1">
        <f t="array" ref="Q226">_xlfn.IFS(N226&gt;=10,"high",N226&gt;=5,"midum",N226&lt;5,"low")</f>
        <v>high</v>
      </c>
      <c r="R226" t="str">
        <f t="shared" si="11"/>
        <v>midum</v>
      </c>
    </row>
    <row r="227" spans="1:18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t="str">
        <f t="shared" si="10"/>
        <v>High price</v>
      </c>
      <c r="Q227" t="str" cm="1">
        <f t="array" ref="Q227">_xlfn.IFS(N227&gt;=10,"high",N227&gt;=5,"midum",N227&lt;5,"low")</f>
        <v>low</v>
      </c>
      <c r="R227" t="str">
        <f t="shared" si="11"/>
        <v>midum</v>
      </c>
    </row>
    <row r="228" spans="1:18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t="str">
        <f t="shared" si="10"/>
        <v>Low price</v>
      </c>
      <c r="Q228" t="str" cm="1">
        <f t="array" ref="Q228">_xlfn.IFS(N228&gt;=10,"high",N228&gt;=5,"midum",N228&lt;5,"low")</f>
        <v>high</v>
      </c>
      <c r="R228" t="str">
        <f t="shared" si="11"/>
        <v>low</v>
      </c>
    </row>
    <row r="229" spans="1:18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t="str">
        <f t="shared" si="10"/>
        <v>High price</v>
      </c>
      <c r="Q229" t="str" cm="1">
        <f t="array" ref="Q229">_xlfn.IFS(N229&gt;=10,"high",N229&gt;=5,"midum",N229&lt;5,"low")</f>
        <v>high</v>
      </c>
      <c r="R229" t="str">
        <f t="shared" si="11"/>
        <v>midum</v>
      </c>
    </row>
    <row r="230" spans="1:18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t="str">
        <f t="shared" si="10"/>
        <v>Low price</v>
      </c>
      <c r="Q230" t="str" cm="1">
        <f t="array" ref="Q230">_xlfn.IFS(N230&gt;=10,"high",N230&gt;=5,"midum",N230&lt;5,"low")</f>
        <v>midum</v>
      </c>
      <c r="R230" t="str">
        <f t="shared" si="11"/>
        <v>low</v>
      </c>
    </row>
    <row r="231" spans="1:18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t="str">
        <f t="shared" si="10"/>
        <v>Low price</v>
      </c>
      <c r="Q231" t="str" cm="1">
        <f t="array" ref="Q231">_xlfn.IFS(N231&gt;=10,"high",N231&gt;=5,"midum",N231&lt;5,"low")</f>
        <v>high</v>
      </c>
      <c r="R231" t="str">
        <f t="shared" si="11"/>
        <v>low</v>
      </c>
    </row>
    <row r="232" spans="1:18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t="str">
        <f t="shared" si="10"/>
        <v>High price</v>
      </c>
      <c r="Q232" t="str" cm="1">
        <f t="array" ref="Q232">_xlfn.IFS(N232&gt;=10,"high",N232&gt;=5,"midum",N232&lt;5,"low")</f>
        <v>high</v>
      </c>
      <c r="R232" t="str">
        <f t="shared" si="11"/>
        <v>midum</v>
      </c>
    </row>
    <row r="233" spans="1:18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t="str">
        <f t="shared" si="10"/>
        <v>High price</v>
      </c>
      <c r="Q233" t="str" cm="1">
        <f t="array" ref="Q233">_xlfn.IFS(N233&gt;=10,"high",N233&gt;=5,"midum",N233&lt;5,"low")</f>
        <v>high</v>
      </c>
      <c r="R233" t="str">
        <f t="shared" si="11"/>
        <v>midum</v>
      </c>
    </row>
    <row r="234" spans="1:18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t="str">
        <f t="shared" si="10"/>
        <v>Low price</v>
      </c>
      <c r="Q234" t="str" cm="1">
        <f t="array" ref="Q234">_xlfn.IFS(N234&gt;=10,"high",N234&gt;=5,"midum",N234&lt;5,"low")</f>
        <v>low</v>
      </c>
      <c r="R234" t="str">
        <f t="shared" si="11"/>
        <v>low</v>
      </c>
    </row>
    <row r="235" spans="1:18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t="str">
        <f t="shared" si="10"/>
        <v>Low price</v>
      </c>
      <c r="Q235" t="str" cm="1">
        <f t="array" ref="Q235">_xlfn.IFS(N235&gt;=10,"high",N235&gt;=5,"midum",N235&lt;5,"low")</f>
        <v>midum</v>
      </c>
      <c r="R235" t="str">
        <f t="shared" si="11"/>
        <v>midum</v>
      </c>
    </row>
    <row r="236" spans="1:18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t="str">
        <f t="shared" si="10"/>
        <v>Low price</v>
      </c>
      <c r="Q236" t="str" cm="1">
        <f t="array" ref="Q236">_xlfn.IFS(N236&gt;=10,"high",N236&gt;=5,"midum",N236&lt;5,"low")</f>
        <v>low</v>
      </c>
      <c r="R236" t="str">
        <f t="shared" si="11"/>
        <v>low</v>
      </c>
    </row>
    <row r="237" spans="1:18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t="str">
        <f t="shared" si="10"/>
        <v>Low price</v>
      </c>
      <c r="Q237" t="str" cm="1">
        <f t="array" ref="Q237">_xlfn.IFS(N237&gt;=10,"high",N237&gt;=5,"midum",N237&lt;5,"low")</f>
        <v>high</v>
      </c>
      <c r="R237" t="str">
        <f t="shared" si="11"/>
        <v>midum</v>
      </c>
    </row>
    <row r="238" spans="1:18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t="str">
        <f t="shared" si="10"/>
        <v>Low price</v>
      </c>
      <c r="Q238" t="str" cm="1">
        <f t="array" ref="Q238">_xlfn.IFS(N238&gt;=10,"high",N238&gt;=5,"midum",N238&lt;5,"low")</f>
        <v>high</v>
      </c>
      <c r="R238" t="str">
        <f t="shared" si="11"/>
        <v>high</v>
      </c>
    </row>
    <row r="239" spans="1:18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t="str">
        <f t="shared" si="10"/>
        <v>High price</v>
      </c>
      <c r="Q239" t="str" cm="1">
        <f t="array" ref="Q239">_xlfn.IFS(N239&gt;=10,"high",N239&gt;=5,"midum",N239&lt;5,"low")</f>
        <v>high</v>
      </c>
      <c r="R239" t="str">
        <f t="shared" si="11"/>
        <v>midum</v>
      </c>
    </row>
    <row r="240" spans="1:18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t="str">
        <f t="shared" si="10"/>
        <v>High price</v>
      </c>
      <c r="Q240" t="str" cm="1">
        <f t="array" ref="Q240">_xlfn.IFS(N240&gt;=10,"high",N240&gt;=5,"midum",N240&lt;5,"low")</f>
        <v>low</v>
      </c>
      <c r="R240" t="str">
        <f t="shared" si="11"/>
        <v>midum</v>
      </c>
    </row>
    <row r="241" spans="1:18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t="str">
        <f t="shared" si="10"/>
        <v>Low price</v>
      </c>
      <c r="Q241" t="str" cm="1">
        <f t="array" ref="Q241">_xlfn.IFS(N241&gt;=10,"high",N241&gt;=5,"midum",N241&lt;5,"low")</f>
        <v>midum</v>
      </c>
      <c r="R241" t="str">
        <f t="shared" si="11"/>
        <v>midum</v>
      </c>
    </row>
    <row r="242" spans="1:18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t="str">
        <f t="shared" si="10"/>
        <v>Low price</v>
      </c>
      <c r="Q242" t="str" cm="1">
        <f t="array" ref="Q242">_xlfn.IFS(N242&gt;=10,"high",N242&gt;=5,"midum",N242&lt;5,"low")</f>
        <v>low</v>
      </c>
      <c r="R242" t="str">
        <f t="shared" si="11"/>
        <v>midum</v>
      </c>
    </row>
    <row r="243" spans="1:18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t="str">
        <f t="shared" si="10"/>
        <v>Low price</v>
      </c>
      <c r="Q243" t="str" cm="1">
        <f t="array" ref="Q243">_xlfn.IFS(N243&gt;=10,"high",N243&gt;=5,"midum",N243&lt;5,"low")</f>
        <v>high</v>
      </c>
      <c r="R243" t="str">
        <f t="shared" si="11"/>
        <v>midum</v>
      </c>
    </row>
    <row r="244" spans="1:18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t="str">
        <f t="shared" si="10"/>
        <v>High price</v>
      </c>
      <c r="Q244" t="str" cm="1">
        <f t="array" ref="Q244">_xlfn.IFS(N244&gt;=10,"high",N244&gt;=5,"midum",N244&lt;5,"low")</f>
        <v>high</v>
      </c>
      <c r="R244" t="str">
        <f t="shared" si="11"/>
        <v>midum</v>
      </c>
    </row>
    <row r="245" spans="1:18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t="str">
        <f t="shared" si="10"/>
        <v>High price</v>
      </c>
      <c r="Q245" t="str" cm="1">
        <f t="array" ref="Q245">_xlfn.IFS(N245&gt;=10,"high",N245&gt;=5,"midum",N245&lt;5,"low")</f>
        <v>high</v>
      </c>
      <c r="R245" t="str">
        <f t="shared" si="11"/>
        <v>high</v>
      </c>
    </row>
    <row r="246" spans="1:18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t="str">
        <f t="shared" si="10"/>
        <v>Low price</v>
      </c>
      <c r="Q246" t="str" cm="1">
        <f t="array" ref="Q246">_xlfn.IFS(N246&gt;=10,"high",N246&gt;=5,"midum",N246&lt;5,"low")</f>
        <v>low</v>
      </c>
      <c r="R246" t="str">
        <f t="shared" si="11"/>
        <v>low</v>
      </c>
    </row>
    <row r="247" spans="1:18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t="str">
        <f t="shared" si="10"/>
        <v>Low price</v>
      </c>
      <c r="Q247" t="str" cm="1">
        <f t="array" ref="Q247">_xlfn.IFS(N247&gt;=10,"high",N247&gt;=5,"midum",N247&lt;5,"low")</f>
        <v>low</v>
      </c>
      <c r="R247" t="str">
        <f t="shared" si="11"/>
        <v>low</v>
      </c>
    </row>
    <row r="248" spans="1:18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t="str">
        <f t="shared" si="10"/>
        <v>Low price</v>
      </c>
      <c r="Q248" t="str" cm="1">
        <f t="array" ref="Q248">_xlfn.IFS(N248&gt;=10,"high",N248&gt;=5,"midum",N248&lt;5,"low")</f>
        <v>midum</v>
      </c>
      <c r="R248" t="str">
        <f t="shared" si="11"/>
        <v>midum</v>
      </c>
    </row>
    <row r="249" spans="1:18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t="str">
        <f t="shared" si="10"/>
        <v>Low price</v>
      </c>
      <c r="Q249" t="str" cm="1">
        <f t="array" ref="Q249">_xlfn.IFS(N249&gt;=10,"high",N249&gt;=5,"midum",N249&lt;5,"low")</f>
        <v>midum</v>
      </c>
      <c r="R249" t="str">
        <f t="shared" si="11"/>
        <v>midum</v>
      </c>
    </row>
    <row r="250" spans="1:18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t="str">
        <f t="shared" si="10"/>
        <v>Low price</v>
      </c>
      <c r="Q250" t="str" cm="1">
        <f t="array" ref="Q250">_xlfn.IFS(N250&gt;=10,"high",N250&gt;=5,"midum",N250&lt;5,"low")</f>
        <v>low</v>
      </c>
      <c r="R250" t="str">
        <f t="shared" si="11"/>
        <v>midum</v>
      </c>
    </row>
    <row r="251" spans="1:18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t="str">
        <f t="shared" si="10"/>
        <v>Low price</v>
      </c>
      <c r="Q251" t="str" cm="1">
        <f t="array" ref="Q251">_xlfn.IFS(N251&gt;=10,"high",N251&gt;=5,"midum",N251&lt;5,"low")</f>
        <v>high</v>
      </c>
      <c r="R251" t="str">
        <f t="shared" si="11"/>
        <v>low</v>
      </c>
    </row>
    <row r="252" spans="1:18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t="str">
        <f t="shared" si="10"/>
        <v>Low price</v>
      </c>
      <c r="Q252" t="str" cm="1">
        <f t="array" ref="Q252">_xlfn.IFS(N252&gt;=10,"high",N252&gt;=5,"midum",N252&lt;5,"low")</f>
        <v>high</v>
      </c>
      <c r="R252" t="str">
        <f t="shared" si="11"/>
        <v>low</v>
      </c>
    </row>
    <row r="253" spans="1:18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t="str">
        <f t="shared" si="10"/>
        <v>Low price</v>
      </c>
      <c r="Q253" t="str" cm="1">
        <f t="array" ref="Q253">_xlfn.IFS(N253&gt;=10,"high",N253&gt;=5,"midum",N253&lt;5,"low")</f>
        <v>high</v>
      </c>
      <c r="R253" t="str">
        <f t="shared" si="11"/>
        <v>low</v>
      </c>
    </row>
    <row r="254" spans="1:18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t="str">
        <f t="shared" si="10"/>
        <v>Low price</v>
      </c>
      <c r="Q254" t="str" cm="1">
        <f t="array" ref="Q254">_xlfn.IFS(N254&gt;=10,"high",N254&gt;=5,"midum",N254&lt;5,"low")</f>
        <v>midum</v>
      </c>
      <c r="R254" t="str">
        <f t="shared" si="11"/>
        <v>low</v>
      </c>
    </row>
    <row r="255" spans="1:18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t="str">
        <f t="shared" si="10"/>
        <v>Low price</v>
      </c>
      <c r="Q255" t="str" cm="1">
        <f t="array" ref="Q255">_xlfn.IFS(N255&gt;=10,"high",N255&gt;=5,"midum",N255&lt;5,"low")</f>
        <v>low</v>
      </c>
      <c r="R255" t="str">
        <f t="shared" si="11"/>
        <v>low</v>
      </c>
    </row>
    <row r="256" spans="1:18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t="str">
        <f t="shared" si="10"/>
        <v>Low price</v>
      </c>
      <c r="Q256" t="str" cm="1">
        <f t="array" ref="Q256">_xlfn.IFS(N256&gt;=10,"high",N256&gt;=5,"midum",N256&lt;5,"low")</f>
        <v>high</v>
      </c>
      <c r="R256" t="str">
        <f t="shared" si="11"/>
        <v>low</v>
      </c>
    </row>
    <row r="257" spans="1:18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t="str">
        <f t="shared" si="10"/>
        <v>Low price</v>
      </c>
      <c r="Q257" t="str" cm="1">
        <f t="array" ref="Q257">_xlfn.IFS(N257&gt;=10,"high",N257&gt;=5,"midum",N257&lt;5,"low")</f>
        <v>midum</v>
      </c>
      <c r="R257" t="str">
        <f t="shared" si="11"/>
        <v>low</v>
      </c>
    </row>
    <row r="258" spans="1:18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t="str">
        <f t="shared" si="10"/>
        <v>Low price</v>
      </c>
      <c r="Q258" t="str" cm="1">
        <f t="array" ref="Q258">_xlfn.IFS(N258&gt;=10,"high",N258&gt;=5,"midum",N258&lt;5,"low")</f>
        <v>low</v>
      </c>
      <c r="R258" t="str">
        <f t="shared" si="11"/>
        <v>low</v>
      </c>
    </row>
    <row r="259" spans="1:18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M259*L259</f>
        <v>3251.27</v>
      </c>
      <c r="P259" t="str">
        <f t="shared" ref="P259:P322" si="13">IF(O259&gt;=15000,"High price","Low price")</f>
        <v>Low price</v>
      </c>
      <c r="Q259" t="str" cm="1">
        <f t="array" ref="Q259">_xlfn.IFS(N259&gt;=10,"high",N259&gt;=5,"midum",N259&lt;5,"low")</f>
        <v>high</v>
      </c>
      <c r="R259" t="str">
        <f t="shared" ref="R259:R322" si="14">IF(L259&gt;8,"high",IF(L259&gt;4,"midum","low"))</f>
        <v>low</v>
      </c>
    </row>
    <row r="260" spans="1:18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t="str">
        <f t="shared" si="13"/>
        <v>Low price</v>
      </c>
      <c r="Q260" t="str" cm="1">
        <f t="array" ref="Q260">_xlfn.IFS(N260&gt;=10,"high",N260&gt;=5,"midum",N260&lt;5,"low")</f>
        <v>midum</v>
      </c>
      <c r="R260" t="str">
        <f t="shared" si="14"/>
        <v>low</v>
      </c>
    </row>
    <row r="261" spans="1:18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t="str">
        <f t="shared" si="13"/>
        <v>High price</v>
      </c>
      <c r="Q261" t="str" cm="1">
        <f t="array" ref="Q261">_xlfn.IFS(N261&gt;=10,"high",N261&gt;=5,"midum",N261&lt;5,"low")</f>
        <v>high</v>
      </c>
      <c r="R261" t="str">
        <f t="shared" si="14"/>
        <v>midum</v>
      </c>
    </row>
    <row r="262" spans="1:18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t="str">
        <f t="shared" si="13"/>
        <v>High price</v>
      </c>
      <c r="Q262" t="str" cm="1">
        <f t="array" ref="Q262">_xlfn.IFS(N262&gt;=10,"high",N262&gt;=5,"midum",N262&lt;5,"low")</f>
        <v>high</v>
      </c>
      <c r="R262" t="str">
        <f t="shared" si="14"/>
        <v>midum</v>
      </c>
    </row>
    <row r="263" spans="1:18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t="str">
        <f t="shared" si="13"/>
        <v>Low price</v>
      </c>
      <c r="Q263" t="str" cm="1">
        <f t="array" ref="Q263">_xlfn.IFS(N263&gt;=10,"high",N263&gt;=5,"midum",N263&lt;5,"low")</f>
        <v>high</v>
      </c>
      <c r="R263" t="str">
        <f t="shared" si="14"/>
        <v>low</v>
      </c>
    </row>
    <row r="264" spans="1:18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t="str">
        <f t="shared" si="13"/>
        <v>Low price</v>
      </c>
      <c r="Q264" t="str" cm="1">
        <f t="array" ref="Q264">_xlfn.IFS(N264&gt;=10,"high",N264&gt;=5,"midum",N264&lt;5,"low")</f>
        <v>low</v>
      </c>
      <c r="R264" t="str">
        <f t="shared" si="14"/>
        <v>midum</v>
      </c>
    </row>
    <row r="265" spans="1:18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t="str">
        <f t="shared" si="13"/>
        <v>High price</v>
      </c>
      <c r="Q265" t="str" cm="1">
        <f t="array" ref="Q265">_xlfn.IFS(N265&gt;=10,"high",N265&gt;=5,"midum",N265&lt;5,"low")</f>
        <v>low</v>
      </c>
      <c r="R265" t="str">
        <f t="shared" si="14"/>
        <v>midum</v>
      </c>
    </row>
    <row r="266" spans="1:18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t="str">
        <f t="shared" si="13"/>
        <v>High price</v>
      </c>
      <c r="Q266" t="str" cm="1">
        <f t="array" ref="Q266">_xlfn.IFS(N266&gt;=10,"high",N266&gt;=5,"midum",N266&lt;5,"low")</f>
        <v>high</v>
      </c>
      <c r="R266" t="str">
        <f t="shared" si="14"/>
        <v>midum</v>
      </c>
    </row>
    <row r="267" spans="1:18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t="str">
        <f t="shared" si="13"/>
        <v>Low price</v>
      </c>
      <c r="Q267" t="str" cm="1">
        <f t="array" ref="Q267">_xlfn.IFS(N267&gt;=10,"high",N267&gt;=5,"midum",N267&lt;5,"low")</f>
        <v>low</v>
      </c>
      <c r="R267" t="str">
        <f t="shared" si="14"/>
        <v>midum</v>
      </c>
    </row>
    <row r="268" spans="1:18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t="str">
        <f t="shared" si="13"/>
        <v>High price</v>
      </c>
      <c r="Q268" t="str" cm="1">
        <f t="array" ref="Q268">_xlfn.IFS(N268&gt;=10,"high",N268&gt;=5,"midum",N268&lt;5,"low")</f>
        <v>high</v>
      </c>
      <c r="R268" t="str">
        <f t="shared" si="14"/>
        <v>high</v>
      </c>
    </row>
    <row r="269" spans="1:18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t="str">
        <f t="shared" si="13"/>
        <v>Low price</v>
      </c>
      <c r="Q269" t="str" cm="1">
        <f t="array" ref="Q269">_xlfn.IFS(N269&gt;=10,"high",N269&gt;=5,"midum",N269&lt;5,"low")</f>
        <v>low</v>
      </c>
      <c r="R269" t="str">
        <f t="shared" si="14"/>
        <v>midum</v>
      </c>
    </row>
    <row r="270" spans="1:18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t="str">
        <f t="shared" si="13"/>
        <v>Low price</v>
      </c>
      <c r="Q270" t="str" cm="1">
        <f t="array" ref="Q270">_xlfn.IFS(N270&gt;=10,"high",N270&gt;=5,"midum",N270&lt;5,"low")</f>
        <v>high</v>
      </c>
      <c r="R270" t="str">
        <f t="shared" si="14"/>
        <v>low</v>
      </c>
    </row>
    <row r="271" spans="1:18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t="str">
        <f t="shared" si="13"/>
        <v>High price</v>
      </c>
      <c r="Q271" t="str" cm="1">
        <f t="array" ref="Q271">_xlfn.IFS(N271&gt;=10,"high",N271&gt;=5,"midum",N271&lt;5,"low")</f>
        <v>low</v>
      </c>
      <c r="R271" t="str">
        <f t="shared" si="14"/>
        <v>midum</v>
      </c>
    </row>
    <row r="272" spans="1:18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t="str">
        <f t="shared" si="13"/>
        <v>Low price</v>
      </c>
      <c r="Q272" t="str" cm="1">
        <f t="array" ref="Q272">_xlfn.IFS(N272&gt;=10,"high",N272&gt;=5,"midum",N272&lt;5,"low")</f>
        <v>high</v>
      </c>
      <c r="R272" t="str">
        <f t="shared" si="14"/>
        <v>low</v>
      </c>
    </row>
    <row r="273" spans="1:18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t="str">
        <f t="shared" si="13"/>
        <v>Low price</v>
      </c>
      <c r="Q273" t="str" cm="1">
        <f t="array" ref="Q273">_xlfn.IFS(N273&gt;=10,"high",N273&gt;=5,"midum",N273&lt;5,"low")</f>
        <v>high</v>
      </c>
      <c r="R273" t="str">
        <f t="shared" si="14"/>
        <v>low</v>
      </c>
    </row>
    <row r="274" spans="1:18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t="str">
        <f t="shared" si="13"/>
        <v>High price</v>
      </c>
      <c r="Q274" t="str" cm="1">
        <f t="array" ref="Q274">_xlfn.IFS(N274&gt;=10,"high",N274&gt;=5,"midum",N274&lt;5,"low")</f>
        <v>high</v>
      </c>
      <c r="R274" t="str">
        <f t="shared" si="14"/>
        <v>midum</v>
      </c>
    </row>
    <row r="275" spans="1:18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t="str">
        <f t="shared" si="13"/>
        <v>Low price</v>
      </c>
      <c r="Q275" t="str" cm="1">
        <f t="array" ref="Q275">_xlfn.IFS(N275&gt;=10,"high",N275&gt;=5,"midum",N275&lt;5,"low")</f>
        <v>midum</v>
      </c>
      <c r="R275" t="str">
        <f t="shared" si="14"/>
        <v>low</v>
      </c>
    </row>
    <row r="276" spans="1:18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t="str">
        <f t="shared" si="13"/>
        <v>Low price</v>
      </c>
      <c r="Q276" t="str" cm="1">
        <f t="array" ref="Q276">_xlfn.IFS(N276&gt;=10,"high",N276&gt;=5,"midum",N276&lt;5,"low")</f>
        <v>high</v>
      </c>
      <c r="R276" t="str">
        <f t="shared" si="14"/>
        <v>low</v>
      </c>
    </row>
    <row r="277" spans="1:18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t="str">
        <f t="shared" si="13"/>
        <v>Low price</v>
      </c>
      <c r="Q277" t="str" cm="1">
        <f t="array" ref="Q277">_xlfn.IFS(N277&gt;=10,"high",N277&gt;=5,"midum",N277&lt;5,"low")</f>
        <v>high</v>
      </c>
      <c r="R277" t="str">
        <f t="shared" si="14"/>
        <v>low</v>
      </c>
    </row>
    <row r="278" spans="1:18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t="str">
        <f t="shared" si="13"/>
        <v>Low price</v>
      </c>
      <c r="Q278" t="str" cm="1">
        <f t="array" ref="Q278">_xlfn.IFS(N278&gt;=10,"high",N278&gt;=5,"midum",N278&lt;5,"low")</f>
        <v>midum</v>
      </c>
      <c r="R278" t="str">
        <f t="shared" si="14"/>
        <v>low</v>
      </c>
    </row>
    <row r="279" spans="1:18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t="str">
        <f t="shared" si="13"/>
        <v>Low price</v>
      </c>
      <c r="Q279" t="str" cm="1">
        <f t="array" ref="Q279">_xlfn.IFS(N279&gt;=10,"high",N279&gt;=5,"midum",N279&lt;5,"low")</f>
        <v>low</v>
      </c>
      <c r="R279" t="str">
        <f t="shared" si="14"/>
        <v>low</v>
      </c>
    </row>
    <row r="280" spans="1:18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t="str">
        <f t="shared" si="13"/>
        <v>Low price</v>
      </c>
      <c r="Q280" t="str" cm="1">
        <f t="array" ref="Q280">_xlfn.IFS(N280&gt;=10,"high",N280&gt;=5,"midum",N280&lt;5,"low")</f>
        <v>high</v>
      </c>
      <c r="R280" t="str">
        <f t="shared" si="14"/>
        <v>midum</v>
      </c>
    </row>
    <row r="281" spans="1:18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t="str">
        <f t="shared" si="13"/>
        <v>Low price</v>
      </c>
      <c r="Q281" t="str" cm="1">
        <f t="array" ref="Q281">_xlfn.IFS(N281&gt;=10,"high",N281&gt;=5,"midum",N281&lt;5,"low")</f>
        <v>low</v>
      </c>
      <c r="R281" t="str">
        <f t="shared" si="14"/>
        <v>midum</v>
      </c>
    </row>
    <row r="282" spans="1:18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t="str">
        <f t="shared" si="13"/>
        <v>Low price</v>
      </c>
      <c r="Q282" t="str" cm="1">
        <f t="array" ref="Q282">_xlfn.IFS(N282&gt;=10,"high",N282&gt;=5,"midum",N282&lt;5,"low")</f>
        <v>high</v>
      </c>
      <c r="R282" t="str">
        <f t="shared" si="14"/>
        <v>low</v>
      </c>
    </row>
    <row r="283" spans="1:18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t="str">
        <f t="shared" si="13"/>
        <v>Low price</v>
      </c>
      <c r="Q283" t="str" cm="1">
        <f t="array" ref="Q283">_xlfn.IFS(N283&gt;=10,"high",N283&gt;=5,"midum",N283&lt;5,"low")</f>
        <v>high</v>
      </c>
      <c r="R283" t="str">
        <f t="shared" si="14"/>
        <v>low</v>
      </c>
    </row>
    <row r="284" spans="1:18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t="str">
        <f t="shared" si="13"/>
        <v>Low price</v>
      </c>
      <c r="Q284" t="str" cm="1">
        <f t="array" ref="Q284">_xlfn.IFS(N284&gt;=10,"high",N284&gt;=5,"midum",N284&lt;5,"low")</f>
        <v>high</v>
      </c>
      <c r="R284" t="str">
        <f t="shared" si="14"/>
        <v>low</v>
      </c>
    </row>
    <row r="285" spans="1:18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t="str">
        <f t="shared" si="13"/>
        <v>Low price</v>
      </c>
      <c r="Q285" t="str" cm="1">
        <f t="array" ref="Q285">_xlfn.IFS(N285&gt;=10,"high",N285&gt;=5,"midum",N285&lt;5,"low")</f>
        <v>high</v>
      </c>
      <c r="R285" t="str">
        <f t="shared" si="14"/>
        <v>low</v>
      </c>
    </row>
    <row r="286" spans="1:18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t="str">
        <f t="shared" si="13"/>
        <v>Low price</v>
      </c>
      <c r="Q286" t="str" cm="1">
        <f t="array" ref="Q286">_xlfn.IFS(N286&gt;=10,"high",N286&gt;=5,"midum",N286&lt;5,"low")</f>
        <v>high</v>
      </c>
      <c r="R286" t="str">
        <f t="shared" si="14"/>
        <v>low</v>
      </c>
    </row>
    <row r="287" spans="1:18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t="str">
        <f t="shared" si="13"/>
        <v>Low price</v>
      </c>
      <c r="Q287" t="str" cm="1">
        <f t="array" ref="Q287">_xlfn.IFS(N287&gt;=10,"high",N287&gt;=5,"midum",N287&lt;5,"low")</f>
        <v>high</v>
      </c>
      <c r="R287" t="str">
        <f t="shared" si="14"/>
        <v>low</v>
      </c>
    </row>
    <row r="288" spans="1:18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t="str">
        <f t="shared" si="13"/>
        <v>High price</v>
      </c>
      <c r="Q288" t="str" cm="1">
        <f t="array" ref="Q288">_xlfn.IFS(N288&gt;=10,"high",N288&gt;=5,"midum",N288&lt;5,"low")</f>
        <v>midum</v>
      </c>
      <c r="R288" t="str">
        <f t="shared" si="14"/>
        <v>high</v>
      </c>
    </row>
    <row r="289" spans="1:18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t="str">
        <f t="shared" si="13"/>
        <v>Low price</v>
      </c>
      <c r="Q289" t="str" cm="1">
        <f t="array" ref="Q289">_xlfn.IFS(N289&gt;=10,"high",N289&gt;=5,"midum",N289&lt;5,"low")</f>
        <v>high</v>
      </c>
      <c r="R289" t="str">
        <f t="shared" si="14"/>
        <v>high</v>
      </c>
    </row>
    <row r="290" spans="1:18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t="str">
        <f t="shared" si="13"/>
        <v>Low price</v>
      </c>
      <c r="Q290" t="str" cm="1">
        <f t="array" ref="Q290">_xlfn.IFS(N290&gt;=10,"high",N290&gt;=5,"midum",N290&lt;5,"low")</f>
        <v>low</v>
      </c>
      <c r="R290" t="str">
        <f t="shared" si="14"/>
        <v>midum</v>
      </c>
    </row>
    <row r="291" spans="1:18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t="str">
        <f t="shared" si="13"/>
        <v>High price</v>
      </c>
      <c r="Q291" t="str" cm="1">
        <f t="array" ref="Q291">_xlfn.IFS(N291&gt;=10,"high",N291&gt;=5,"midum",N291&lt;5,"low")</f>
        <v>high</v>
      </c>
      <c r="R291" t="str">
        <f t="shared" si="14"/>
        <v>midum</v>
      </c>
    </row>
    <row r="292" spans="1:18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t="str">
        <f t="shared" si="13"/>
        <v>Low price</v>
      </c>
      <c r="Q292" t="str" cm="1">
        <f t="array" ref="Q292">_xlfn.IFS(N292&gt;=10,"high",N292&gt;=5,"midum",N292&lt;5,"low")</f>
        <v>midum</v>
      </c>
      <c r="R292" t="str">
        <f t="shared" si="14"/>
        <v>low</v>
      </c>
    </row>
    <row r="293" spans="1:18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t="str">
        <f t="shared" si="13"/>
        <v>Low price</v>
      </c>
      <c r="Q293" t="str" cm="1">
        <f t="array" ref="Q293">_xlfn.IFS(N293&gt;=10,"high",N293&gt;=5,"midum",N293&lt;5,"low")</f>
        <v>high</v>
      </c>
      <c r="R293" t="str">
        <f t="shared" si="14"/>
        <v>midum</v>
      </c>
    </row>
    <row r="294" spans="1:18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t="str">
        <f t="shared" si="13"/>
        <v>Low price</v>
      </c>
      <c r="Q294" t="str" cm="1">
        <f t="array" ref="Q294">_xlfn.IFS(N294&gt;=10,"high",N294&gt;=5,"midum",N294&lt;5,"low")</f>
        <v>high</v>
      </c>
      <c r="R294" t="str">
        <f t="shared" si="14"/>
        <v>low</v>
      </c>
    </row>
    <row r="295" spans="1:18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t="str">
        <f t="shared" si="13"/>
        <v>High price</v>
      </c>
      <c r="Q295" t="str" cm="1">
        <f t="array" ref="Q295">_xlfn.IFS(N295&gt;=10,"high",N295&gt;=5,"midum",N295&lt;5,"low")</f>
        <v>high</v>
      </c>
      <c r="R295" t="str">
        <f t="shared" si="14"/>
        <v>midum</v>
      </c>
    </row>
    <row r="296" spans="1:18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t="str">
        <f t="shared" si="13"/>
        <v>High price</v>
      </c>
      <c r="Q296" t="str" cm="1">
        <f t="array" ref="Q296">_xlfn.IFS(N296&gt;=10,"high",N296&gt;=5,"midum",N296&lt;5,"low")</f>
        <v>low</v>
      </c>
      <c r="R296" t="str">
        <f t="shared" si="14"/>
        <v>midum</v>
      </c>
    </row>
    <row r="297" spans="1:18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t="str">
        <f t="shared" si="13"/>
        <v>High price</v>
      </c>
      <c r="Q297" t="str" cm="1">
        <f t="array" ref="Q297">_xlfn.IFS(N297&gt;=10,"high",N297&gt;=5,"midum",N297&lt;5,"low")</f>
        <v>midum</v>
      </c>
      <c r="R297" t="str">
        <f t="shared" si="14"/>
        <v>midum</v>
      </c>
    </row>
    <row r="298" spans="1:18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t="str">
        <f t="shared" si="13"/>
        <v>High price</v>
      </c>
      <c r="Q298" t="str" cm="1">
        <f t="array" ref="Q298">_xlfn.IFS(N298&gt;=10,"high",N298&gt;=5,"midum",N298&lt;5,"low")</f>
        <v>high</v>
      </c>
      <c r="R298" t="str">
        <f t="shared" si="14"/>
        <v>midum</v>
      </c>
    </row>
    <row r="299" spans="1:18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t="str">
        <f t="shared" si="13"/>
        <v>Low price</v>
      </c>
      <c r="Q299" t="str" cm="1">
        <f t="array" ref="Q299">_xlfn.IFS(N299&gt;=10,"high",N299&gt;=5,"midum",N299&lt;5,"low")</f>
        <v>low</v>
      </c>
      <c r="R299" t="str">
        <f t="shared" si="14"/>
        <v>midum</v>
      </c>
    </row>
    <row r="300" spans="1:18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t="str">
        <f t="shared" si="13"/>
        <v>High price</v>
      </c>
      <c r="Q300" t="str" cm="1">
        <f t="array" ref="Q300">_xlfn.IFS(N300&gt;=10,"high",N300&gt;=5,"midum",N300&lt;5,"low")</f>
        <v>high</v>
      </c>
      <c r="R300" t="str">
        <f t="shared" si="14"/>
        <v>midum</v>
      </c>
    </row>
    <row r="301" spans="1:18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t="str">
        <f t="shared" si="13"/>
        <v>Low price</v>
      </c>
      <c r="Q301" t="str" cm="1">
        <f t="array" ref="Q301">_xlfn.IFS(N301&gt;=10,"high",N301&gt;=5,"midum",N301&lt;5,"low")</f>
        <v>midum</v>
      </c>
      <c r="R301" t="str">
        <f t="shared" si="14"/>
        <v>low</v>
      </c>
    </row>
    <row r="302" spans="1:18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t="str">
        <f t="shared" si="13"/>
        <v>Low price</v>
      </c>
      <c r="Q302" t="str" cm="1">
        <f t="array" ref="Q302">_xlfn.IFS(N302&gt;=10,"high",N302&gt;=5,"midum",N302&lt;5,"low")</f>
        <v>low</v>
      </c>
      <c r="R302" t="str">
        <f t="shared" si="14"/>
        <v>midum</v>
      </c>
    </row>
    <row r="303" spans="1:18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t="str">
        <f t="shared" si="13"/>
        <v>Low price</v>
      </c>
      <c r="Q303" t="str" cm="1">
        <f t="array" ref="Q303">_xlfn.IFS(N303&gt;=10,"high",N303&gt;=5,"midum",N303&lt;5,"low")</f>
        <v>high</v>
      </c>
      <c r="R303" t="str">
        <f t="shared" si="14"/>
        <v>midum</v>
      </c>
    </row>
    <row r="304" spans="1:18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t="str">
        <f t="shared" si="13"/>
        <v>Low price</v>
      </c>
      <c r="Q304" t="str" cm="1">
        <f t="array" ref="Q304">_xlfn.IFS(N304&gt;=10,"high",N304&gt;=5,"midum",N304&lt;5,"low")</f>
        <v>high</v>
      </c>
      <c r="R304" t="str">
        <f t="shared" si="14"/>
        <v>midum</v>
      </c>
    </row>
    <row r="305" spans="1:18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t="str">
        <f t="shared" si="13"/>
        <v>Low price</v>
      </c>
      <c r="Q305" t="str" cm="1">
        <f t="array" ref="Q305">_xlfn.IFS(N305&gt;=10,"high",N305&gt;=5,"midum",N305&lt;5,"low")</f>
        <v>midum</v>
      </c>
      <c r="R305" t="str">
        <f t="shared" si="14"/>
        <v>low</v>
      </c>
    </row>
    <row r="306" spans="1:18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t="str">
        <f t="shared" si="13"/>
        <v>Low price</v>
      </c>
      <c r="Q306" t="str" cm="1">
        <f t="array" ref="Q306">_xlfn.IFS(N306&gt;=10,"high",N306&gt;=5,"midum",N306&lt;5,"low")</f>
        <v>midum</v>
      </c>
      <c r="R306" t="str">
        <f t="shared" si="14"/>
        <v>low</v>
      </c>
    </row>
    <row r="307" spans="1:18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t="str">
        <f t="shared" si="13"/>
        <v>Low price</v>
      </c>
      <c r="Q307" t="str" cm="1">
        <f t="array" ref="Q307">_xlfn.IFS(N307&gt;=10,"high",N307&gt;=5,"midum",N307&lt;5,"low")</f>
        <v>high</v>
      </c>
      <c r="R307" t="str">
        <f t="shared" si="14"/>
        <v>low</v>
      </c>
    </row>
    <row r="308" spans="1:18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t="str">
        <f t="shared" si="13"/>
        <v>Low price</v>
      </c>
      <c r="Q308" t="str" cm="1">
        <f t="array" ref="Q308">_xlfn.IFS(N308&gt;=10,"high",N308&gt;=5,"midum",N308&lt;5,"low")</f>
        <v>high</v>
      </c>
      <c r="R308" t="str">
        <f t="shared" si="14"/>
        <v>midum</v>
      </c>
    </row>
    <row r="309" spans="1:18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t="str">
        <f t="shared" si="13"/>
        <v>Low price</v>
      </c>
      <c r="Q309" t="str" cm="1">
        <f t="array" ref="Q309">_xlfn.IFS(N309&gt;=10,"high",N309&gt;=5,"midum",N309&lt;5,"low")</f>
        <v>high</v>
      </c>
      <c r="R309" t="str">
        <f t="shared" si="14"/>
        <v>low</v>
      </c>
    </row>
    <row r="310" spans="1:18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t="str">
        <f t="shared" si="13"/>
        <v>Low price</v>
      </c>
      <c r="Q310" t="str" cm="1">
        <f t="array" ref="Q310">_xlfn.IFS(N310&gt;=10,"high",N310&gt;=5,"midum",N310&lt;5,"low")</f>
        <v>high</v>
      </c>
      <c r="R310" t="str">
        <f t="shared" si="14"/>
        <v>low</v>
      </c>
    </row>
    <row r="311" spans="1:18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t="str">
        <f t="shared" si="13"/>
        <v>Low price</v>
      </c>
      <c r="Q311" t="str" cm="1">
        <f t="array" ref="Q311">_xlfn.IFS(N311&gt;=10,"high",N311&gt;=5,"midum",N311&lt;5,"low")</f>
        <v>high</v>
      </c>
      <c r="R311" t="str">
        <f t="shared" si="14"/>
        <v>midum</v>
      </c>
    </row>
    <row r="312" spans="1:18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t="str">
        <f t="shared" si="13"/>
        <v>Low price</v>
      </c>
      <c r="Q312" t="str" cm="1">
        <f t="array" ref="Q312">_xlfn.IFS(N312&gt;=10,"high",N312&gt;=5,"midum",N312&lt;5,"low")</f>
        <v>high</v>
      </c>
      <c r="R312" t="str">
        <f t="shared" si="14"/>
        <v>low</v>
      </c>
    </row>
    <row r="313" spans="1:18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t="str">
        <f t="shared" si="13"/>
        <v>Low price</v>
      </c>
      <c r="Q313" t="str" cm="1">
        <f t="array" ref="Q313">_xlfn.IFS(N313&gt;=10,"high",N313&gt;=5,"midum",N313&lt;5,"low")</f>
        <v>high</v>
      </c>
      <c r="R313" t="str">
        <f t="shared" si="14"/>
        <v>low</v>
      </c>
    </row>
    <row r="314" spans="1:18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t="str">
        <f t="shared" si="13"/>
        <v>Low price</v>
      </c>
      <c r="Q314" t="str" cm="1">
        <f t="array" ref="Q314">_xlfn.IFS(N314&gt;=10,"high",N314&gt;=5,"midum",N314&lt;5,"low")</f>
        <v>high</v>
      </c>
      <c r="R314" t="str">
        <f t="shared" si="14"/>
        <v>low</v>
      </c>
    </row>
    <row r="315" spans="1:18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t="str">
        <f t="shared" si="13"/>
        <v>High price</v>
      </c>
      <c r="Q315" t="str" cm="1">
        <f t="array" ref="Q315">_xlfn.IFS(N315&gt;=10,"high",N315&gt;=5,"midum",N315&lt;5,"low")</f>
        <v>high</v>
      </c>
      <c r="R315" t="str">
        <f t="shared" si="14"/>
        <v>midum</v>
      </c>
    </row>
    <row r="316" spans="1:18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t="str">
        <f t="shared" si="13"/>
        <v>High price</v>
      </c>
      <c r="Q316" t="str" cm="1">
        <f t="array" ref="Q316">_xlfn.IFS(N316&gt;=10,"high",N316&gt;=5,"midum",N316&lt;5,"low")</f>
        <v>low</v>
      </c>
      <c r="R316" t="str">
        <f t="shared" si="14"/>
        <v>midum</v>
      </c>
    </row>
    <row r="317" spans="1:18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t="str">
        <f t="shared" si="13"/>
        <v>Low price</v>
      </c>
      <c r="Q317" t="str" cm="1">
        <f t="array" ref="Q317">_xlfn.IFS(N317&gt;=10,"high",N317&gt;=5,"midum",N317&lt;5,"low")</f>
        <v>high</v>
      </c>
      <c r="R317" t="str">
        <f t="shared" si="14"/>
        <v>low</v>
      </c>
    </row>
    <row r="318" spans="1:18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t="str">
        <f t="shared" si="13"/>
        <v>Low price</v>
      </c>
      <c r="Q318" t="str" cm="1">
        <f t="array" ref="Q318">_xlfn.IFS(N318&gt;=10,"high",N318&gt;=5,"midum",N318&lt;5,"low")</f>
        <v>high</v>
      </c>
      <c r="R318" t="str">
        <f t="shared" si="14"/>
        <v>midum</v>
      </c>
    </row>
    <row r="319" spans="1:18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t="str">
        <f t="shared" si="13"/>
        <v>High price</v>
      </c>
      <c r="Q319" t="str" cm="1">
        <f t="array" ref="Q319">_xlfn.IFS(N319&gt;=10,"high",N319&gt;=5,"midum",N319&lt;5,"low")</f>
        <v>low</v>
      </c>
      <c r="R319" t="str">
        <f t="shared" si="14"/>
        <v>midum</v>
      </c>
    </row>
    <row r="320" spans="1:18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t="str">
        <f t="shared" si="13"/>
        <v>Low price</v>
      </c>
      <c r="Q320" t="str" cm="1">
        <f t="array" ref="Q320">_xlfn.IFS(N320&gt;=10,"high",N320&gt;=5,"midum",N320&lt;5,"low")</f>
        <v>low</v>
      </c>
      <c r="R320" t="str">
        <f t="shared" si="14"/>
        <v>low</v>
      </c>
    </row>
    <row r="321" spans="1:18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t="str">
        <f t="shared" si="13"/>
        <v>Low price</v>
      </c>
      <c r="Q321" t="str" cm="1">
        <f t="array" ref="Q321">_xlfn.IFS(N321&gt;=10,"high",N321&gt;=5,"midum",N321&lt;5,"low")</f>
        <v>high</v>
      </c>
      <c r="R321" t="str">
        <f t="shared" si="14"/>
        <v>low</v>
      </c>
    </row>
    <row r="322" spans="1:18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t="str">
        <f t="shared" si="13"/>
        <v>Low price</v>
      </c>
      <c r="Q322" t="str" cm="1">
        <f t="array" ref="Q322">_xlfn.IFS(N322&gt;=10,"high",N322&gt;=5,"midum",N322&lt;5,"low")</f>
        <v>midum</v>
      </c>
      <c r="R322" t="str">
        <f t="shared" si="14"/>
        <v>low</v>
      </c>
    </row>
    <row r="323" spans="1:18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M323*L323</f>
        <v>2044.41</v>
      </c>
      <c r="P323" t="str">
        <f t="shared" ref="P323:P373" si="16">IF(O323&gt;=15000,"High price","Low price")</f>
        <v>Low price</v>
      </c>
      <c r="Q323" t="str" cm="1">
        <f t="array" ref="Q323">_xlfn.IFS(N323&gt;=10,"high",N323&gt;=5,"midum",N323&lt;5,"low")</f>
        <v>low</v>
      </c>
      <c r="R323" t="str">
        <f t="shared" ref="R323:R373" si="17">IF(L323&gt;8,"high",IF(L323&gt;4,"midum","low"))</f>
        <v>low</v>
      </c>
    </row>
    <row r="324" spans="1:18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t="str">
        <f t="shared" si="16"/>
        <v>High price</v>
      </c>
      <c r="Q324" t="str" cm="1">
        <f t="array" ref="Q324">_xlfn.IFS(N324&gt;=10,"high",N324&gt;=5,"midum",N324&lt;5,"low")</f>
        <v>high</v>
      </c>
      <c r="R324" t="str">
        <f t="shared" si="17"/>
        <v>high</v>
      </c>
    </row>
    <row r="325" spans="1:18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t="str">
        <f t="shared" si="16"/>
        <v>Low price</v>
      </c>
      <c r="Q325" t="str" cm="1">
        <f t="array" ref="Q325">_xlfn.IFS(N325&gt;=10,"high",N325&gt;=5,"midum",N325&lt;5,"low")</f>
        <v>high</v>
      </c>
      <c r="R325" t="str">
        <f t="shared" si="17"/>
        <v>midum</v>
      </c>
    </row>
    <row r="326" spans="1:18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t="str">
        <f t="shared" si="16"/>
        <v>Low price</v>
      </c>
      <c r="Q326" t="str" cm="1">
        <f t="array" ref="Q326">_xlfn.IFS(N326&gt;=10,"high",N326&gt;=5,"midum",N326&lt;5,"low")</f>
        <v>midum</v>
      </c>
      <c r="R326" t="str">
        <f t="shared" si="17"/>
        <v>low</v>
      </c>
    </row>
    <row r="327" spans="1:18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t="str">
        <f t="shared" si="16"/>
        <v>Low price</v>
      </c>
      <c r="Q327" t="str" cm="1">
        <f t="array" ref="Q327">_xlfn.IFS(N327&gt;=10,"high",N327&gt;=5,"midum",N327&lt;5,"low")</f>
        <v>low</v>
      </c>
      <c r="R327" t="str">
        <f t="shared" si="17"/>
        <v>midum</v>
      </c>
    </row>
    <row r="328" spans="1:18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t="str">
        <f t="shared" si="16"/>
        <v>Low price</v>
      </c>
      <c r="Q328" t="str" cm="1">
        <f t="array" ref="Q328">_xlfn.IFS(N328&gt;=10,"high",N328&gt;=5,"midum",N328&lt;5,"low")</f>
        <v>midum</v>
      </c>
      <c r="R328" t="str">
        <f t="shared" si="17"/>
        <v>low</v>
      </c>
    </row>
    <row r="329" spans="1:18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t="str">
        <f t="shared" si="16"/>
        <v>Low price</v>
      </c>
      <c r="Q329" t="str" cm="1">
        <f t="array" ref="Q329">_xlfn.IFS(N329&gt;=10,"high",N329&gt;=5,"midum",N329&lt;5,"low")</f>
        <v>low</v>
      </c>
      <c r="R329" t="str">
        <f t="shared" si="17"/>
        <v>low</v>
      </c>
    </row>
    <row r="330" spans="1:18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t="str">
        <f t="shared" si="16"/>
        <v>High price</v>
      </c>
      <c r="Q330" t="str" cm="1">
        <f t="array" ref="Q330">_xlfn.IFS(N330&gt;=10,"high",N330&gt;=5,"midum",N330&lt;5,"low")</f>
        <v>high</v>
      </c>
      <c r="R330" t="str">
        <f t="shared" si="17"/>
        <v>midum</v>
      </c>
    </row>
    <row r="331" spans="1:18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t="str">
        <f t="shared" si="16"/>
        <v>Low price</v>
      </c>
      <c r="Q331" t="str" cm="1">
        <f t="array" ref="Q331">_xlfn.IFS(N331&gt;=10,"high",N331&gt;=5,"midum",N331&lt;5,"low")</f>
        <v>high</v>
      </c>
      <c r="R331" t="str">
        <f t="shared" si="17"/>
        <v>midum</v>
      </c>
    </row>
    <row r="332" spans="1:18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t="str">
        <f t="shared" si="16"/>
        <v>High price</v>
      </c>
      <c r="Q332" t="str" cm="1">
        <f t="array" ref="Q332">_xlfn.IFS(N332&gt;=10,"high",N332&gt;=5,"midum",N332&lt;5,"low")</f>
        <v>high</v>
      </c>
      <c r="R332" t="str">
        <f t="shared" si="17"/>
        <v>high</v>
      </c>
    </row>
    <row r="333" spans="1:18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t="str">
        <f t="shared" si="16"/>
        <v>High price</v>
      </c>
      <c r="Q333" t="str" cm="1">
        <f t="array" ref="Q333">_xlfn.IFS(N333&gt;=10,"high",N333&gt;=5,"midum",N333&lt;5,"low")</f>
        <v>midum</v>
      </c>
      <c r="R333" t="str">
        <f t="shared" si="17"/>
        <v>high</v>
      </c>
    </row>
    <row r="334" spans="1:18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t="str">
        <f t="shared" si="16"/>
        <v>Low price</v>
      </c>
      <c r="Q334" t="str" cm="1">
        <f t="array" ref="Q334">_xlfn.IFS(N334&gt;=10,"high",N334&gt;=5,"midum",N334&lt;5,"low")</f>
        <v>high</v>
      </c>
      <c r="R334" t="str">
        <f t="shared" si="17"/>
        <v>midum</v>
      </c>
    </row>
    <row r="335" spans="1:18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t="str">
        <f t="shared" si="16"/>
        <v>Low price</v>
      </c>
      <c r="Q335" t="str" cm="1">
        <f t="array" ref="Q335">_xlfn.IFS(N335&gt;=10,"high",N335&gt;=5,"midum",N335&lt;5,"low")</f>
        <v>high</v>
      </c>
      <c r="R335" t="str">
        <f t="shared" si="17"/>
        <v>midum</v>
      </c>
    </row>
    <row r="336" spans="1:18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t="str">
        <f t="shared" si="16"/>
        <v>Low price</v>
      </c>
      <c r="Q336" t="str" cm="1">
        <f t="array" ref="Q336">_xlfn.IFS(N336&gt;=10,"high",N336&gt;=5,"midum",N336&lt;5,"low")</f>
        <v>low</v>
      </c>
      <c r="R336" t="str">
        <f t="shared" si="17"/>
        <v>low</v>
      </c>
    </row>
    <row r="337" spans="1:18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t="str">
        <f t="shared" si="16"/>
        <v>Low price</v>
      </c>
      <c r="Q337" t="str" cm="1">
        <f t="array" ref="Q337">_xlfn.IFS(N337&gt;=10,"high",N337&gt;=5,"midum",N337&lt;5,"low")</f>
        <v>high</v>
      </c>
      <c r="R337" t="str">
        <f t="shared" si="17"/>
        <v>low</v>
      </c>
    </row>
    <row r="338" spans="1:18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t="str">
        <f t="shared" si="16"/>
        <v>High price</v>
      </c>
      <c r="Q338" t="str" cm="1">
        <f t="array" ref="Q338">_xlfn.IFS(N338&gt;=10,"high",N338&gt;=5,"midum",N338&lt;5,"low")</f>
        <v>high</v>
      </c>
      <c r="R338" t="str">
        <f t="shared" si="17"/>
        <v>midum</v>
      </c>
    </row>
    <row r="339" spans="1:18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t="str">
        <f t="shared" si="16"/>
        <v>Low price</v>
      </c>
      <c r="Q339" t="str" cm="1">
        <f t="array" ref="Q339">_xlfn.IFS(N339&gt;=10,"high",N339&gt;=5,"midum",N339&lt;5,"low")</f>
        <v>high</v>
      </c>
      <c r="R339" t="str">
        <f t="shared" si="17"/>
        <v>low</v>
      </c>
    </row>
    <row r="340" spans="1:18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t="str">
        <f t="shared" si="16"/>
        <v>Low price</v>
      </c>
      <c r="Q340" t="str" cm="1">
        <f t="array" ref="Q340">_xlfn.IFS(N340&gt;=10,"high",N340&gt;=5,"midum",N340&lt;5,"low")</f>
        <v>high</v>
      </c>
      <c r="R340" t="str">
        <f t="shared" si="17"/>
        <v>low</v>
      </c>
    </row>
    <row r="341" spans="1:18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t="str">
        <f t="shared" si="16"/>
        <v>Low price</v>
      </c>
      <c r="Q341" t="str" cm="1">
        <f t="array" ref="Q341">_xlfn.IFS(N341&gt;=10,"high",N341&gt;=5,"midum",N341&lt;5,"low")</f>
        <v>high</v>
      </c>
      <c r="R341" t="str">
        <f t="shared" si="17"/>
        <v>low</v>
      </c>
    </row>
    <row r="342" spans="1:18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t="str">
        <f t="shared" si="16"/>
        <v>High price</v>
      </c>
      <c r="Q342" t="str" cm="1">
        <f t="array" ref="Q342">_xlfn.IFS(N342&gt;=10,"high",N342&gt;=5,"midum",N342&lt;5,"low")</f>
        <v>high</v>
      </c>
      <c r="R342" t="str">
        <f t="shared" si="17"/>
        <v>high</v>
      </c>
    </row>
    <row r="343" spans="1:18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t="str">
        <f t="shared" si="16"/>
        <v>Low price</v>
      </c>
      <c r="Q343" t="str" cm="1">
        <f t="array" ref="Q343">_xlfn.IFS(N343&gt;=10,"high",N343&gt;=5,"midum",N343&lt;5,"low")</f>
        <v>high</v>
      </c>
      <c r="R343" t="str">
        <f t="shared" si="17"/>
        <v>low</v>
      </c>
    </row>
    <row r="344" spans="1:18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t="str">
        <f t="shared" si="16"/>
        <v>High price</v>
      </c>
      <c r="Q344" t="str" cm="1">
        <f t="array" ref="Q344">_xlfn.IFS(N344&gt;=10,"high",N344&gt;=5,"midum",N344&lt;5,"low")</f>
        <v>high</v>
      </c>
      <c r="R344" t="str">
        <f t="shared" si="17"/>
        <v>low</v>
      </c>
    </row>
    <row r="345" spans="1:18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t="str">
        <f t="shared" si="16"/>
        <v>High price</v>
      </c>
      <c r="Q345" t="str" cm="1">
        <f t="array" ref="Q345">_xlfn.IFS(N345&gt;=10,"high",N345&gt;=5,"midum",N345&lt;5,"low")</f>
        <v>high</v>
      </c>
      <c r="R345" t="str">
        <f t="shared" si="17"/>
        <v>midum</v>
      </c>
    </row>
    <row r="346" spans="1:18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t="str">
        <f t="shared" si="16"/>
        <v>Low price</v>
      </c>
      <c r="Q346" t="str" cm="1">
        <f t="array" ref="Q346">_xlfn.IFS(N346&gt;=10,"high",N346&gt;=5,"midum",N346&lt;5,"low")</f>
        <v>midum</v>
      </c>
      <c r="R346" t="str">
        <f t="shared" si="17"/>
        <v>low</v>
      </c>
    </row>
    <row r="347" spans="1:18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t="str">
        <f t="shared" si="16"/>
        <v>High price</v>
      </c>
      <c r="Q347" t="str" cm="1">
        <f t="array" ref="Q347">_xlfn.IFS(N347&gt;=10,"high",N347&gt;=5,"midum",N347&lt;5,"low")</f>
        <v>high</v>
      </c>
      <c r="R347" t="str">
        <f t="shared" si="17"/>
        <v>high</v>
      </c>
    </row>
    <row r="348" spans="1:18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t="str">
        <f t="shared" si="16"/>
        <v>Low price</v>
      </c>
      <c r="Q348" t="str" cm="1">
        <f t="array" ref="Q348">_xlfn.IFS(N348&gt;=10,"high",N348&gt;=5,"midum",N348&lt;5,"low")</f>
        <v>low</v>
      </c>
      <c r="R348" t="str">
        <f t="shared" si="17"/>
        <v>low</v>
      </c>
    </row>
    <row r="349" spans="1:18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t="str">
        <f t="shared" si="16"/>
        <v>Low price</v>
      </c>
      <c r="Q349" t="str" cm="1">
        <f t="array" ref="Q349">_xlfn.IFS(N349&gt;=10,"high",N349&gt;=5,"midum",N349&lt;5,"low")</f>
        <v>low</v>
      </c>
      <c r="R349" t="str">
        <f t="shared" si="17"/>
        <v>midum</v>
      </c>
    </row>
    <row r="350" spans="1:18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t="str">
        <f t="shared" si="16"/>
        <v>Low price</v>
      </c>
      <c r="Q350" t="str" cm="1">
        <f t="array" ref="Q350">_xlfn.IFS(N350&gt;=10,"high",N350&gt;=5,"midum",N350&lt;5,"low")</f>
        <v>high</v>
      </c>
      <c r="R350" t="str">
        <f t="shared" si="17"/>
        <v>low</v>
      </c>
    </row>
    <row r="351" spans="1:18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t="str">
        <f t="shared" si="16"/>
        <v>Low price</v>
      </c>
      <c r="Q351" t="str" cm="1">
        <f t="array" ref="Q351">_xlfn.IFS(N351&gt;=10,"high",N351&gt;=5,"midum",N351&lt;5,"low")</f>
        <v>high</v>
      </c>
      <c r="R351" t="str">
        <f t="shared" si="17"/>
        <v>midum</v>
      </c>
    </row>
    <row r="352" spans="1:18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t="str">
        <f t="shared" si="16"/>
        <v>Low price</v>
      </c>
      <c r="Q352" t="str" cm="1">
        <f t="array" ref="Q352">_xlfn.IFS(N352&gt;=10,"high",N352&gt;=5,"midum",N352&lt;5,"low")</f>
        <v>high</v>
      </c>
      <c r="R352" t="str">
        <f t="shared" si="17"/>
        <v>low</v>
      </c>
    </row>
    <row r="353" spans="1:18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t="str">
        <f t="shared" si="16"/>
        <v>Low price</v>
      </c>
      <c r="Q353" t="str" cm="1">
        <f t="array" ref="Q353">_xlfn.IFS(N353&gt;=10,"high",N353&gt;=5,"midum",N353&lt;5,"low")</f>
        <v>high</v>
      </c>
      <c r="R353" t="str">
        <f t="shared" si="17"/>
        <v>low</v>
      </c>
    </row>
    <row r="354" spans="1:18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t="str">
        <f t="shared" si="16"/>
        <v>High price</v>
      </c>
      <c r="Q354" t="str" cm="1">
        <f t="array" ref="Q354">_xlfn.IFS(N354&gt;=10,"high",N354&gt;=5,"midum",N354&lt;5,"low")</f>
        <v>low</v>
      </c>
      <c r="R354" t="str">
        <f t="shared" si="17"/>
        <v>midum</v>
      </c>
    </row>
    <row r="355" spans="1:18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t="str">
        <f t="shared" si="16"/>
        <v>High price</v>
      </c>
      <c r="Q355" t="str" cm="1">
        <f t="array" ref="Q355">_xlfn.IFS(N355&gt;=10,"high",N355&gt;=5,"midum",N355&lt;5,"low")</f>
        <v>high</v>
      </c>
      <c r="R355" t="str">
        <f t="shared" si="17"/>
        <v>high</v>
      </c>
    </row>
    <row r="356" spans="1:18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t="str">
        <f t="shared" si="16"/>
        <v>Low price</v>
      </c>
      <c r="Q356" t="str" cm="1">
        <f t="array" ref="Q356">_xlfn.IFS(N356&gt;=10,"high",N356&gt;=5,"midum",N356&lt;5,"low")</f>
        <v>midum</v>
      </c>
      <c r="R356" t="str">
        <f t="shared" si="17"/>
        <v>midum</v>
      </c>
    </row>
    <row r="357" spans="1:18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t="str">
        <f t="shared" si="16"/>
        <v>Low price</v>
      </c>
      <c r="Q357" t="str" cm="1">
        <f t="array" ref="Q357">_xlfn.IFS(N357&gt;=10,"high",N357&gt;=5,"midum",N357&lt;5,"low")</f>
        <v>high</v>
      </c>
      <c r="R357" t="str">
        <f t="shared" si="17"/>
        <v>midum</v>
      </c>
    </row>
    <row r="358" spans="1:18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t="str">
        <f t="shared" si="16"/>
        <v>Low price</v>
      </c>
      <c r="Q358" t="str" cm="1">
        <f t="array" ref="Q358">_xlfn.IFS(N358&gt;=10,"high",N358&gt;=5,"midum",N358&lt;5,"low")</f>
        <v>high</v>
      </c>
      <c r="R358" t="str">
        <f t="shared" si="17"/>
        <v>midum</v>
      </c>
    </row>
    <row r="359" spans="1:18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t="str">
        <f t="shared" si="16"/>
        <v>Low price</v>
      </c>
      <c r="Q359" t="str" cm="1">
        <f t="array" ref="Q359">_xlfn.IFS(N359&gt;=10,"high",N359&gt;=5,"midum",N359&lt;5,"low")</f>
        <v>low</v>
      </c>
      <c r="R359" t="str">
        <f t="shared" si="17"/>
        <v>midum</v>
      </c>
    </row>
    <row r="360" spans="1:18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t="str">
        <f t="shared" si="16"/>
        <v>High price</v>
      </c>
      <c r="Q360" t="str" cm="1">
        <f t="array" ref="Q360">_xlfn.IFS(N360&gt;=10,"high",N360&gt;=5,"midum",N360&lt;5,"low")</f>
        <v>high</v>
      </c>
      <c r="R360" t="str">
        <f t="shared" si="17"/>
        <v>midum</v>
      </c>
    </row>
    <row r="361" spans="1:18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t="str">
        <f t="shared" si="16"/>
        <v>Low price</v>
      </c>
      <c r="Q361" t="str" cm="1">
        <f t="array" ref="Q361">_xlfn.IFS(N361&gt;=10,"high",N361&gt;=5,"midum",N361&lt;5,"low")</f>
        <v>high</v>
      </c>
      <c r="R361" t="str">
        <f t="shared" si="17"/>
        <v>low</v>
      </c>
    </row>
    <row r="362" spans="1:18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t="str">
        <f t="shared" si="16"/>
        <v>Low price</v>
      </c>
      <c r="Q362" t="str" cm="1">
        <f t="array" ref="Q362">_xlfn.IFS(N362&gt;=10,"high",N362&gt;=5,"midum",N362&lt;5,"low")</f>
        <v>low</v>
      </c>
      <c r="R362" t="str">
        <f t="shared" si="17"/>
        <v>high</v>
      </c>
    </row>
    <row r="363" spans="1:18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t="str">
        <f t="shared" si="16"/>
        <v>Low price</v>
      </c>
      <c r="Q363" t="str" cm="1">
        <f t="array" ref="Q363">_xlfn.IFS(N363&gt;=10,"high",N363&gt;=5,"midum",N363&lt;5,"low")</f>
        <v>high</v>
      </c>
      <c r="R363" t="str">
        <f t="shared" si="17"/>
        <v>low</v>
      </c>
    </row>
    <row r="364" spans="1:18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t="str">
        <f t="shared" si="16"/>
        <v>High price</v>
      </c>
      <c r="Q364" t="str" cm="1">
        <f t="array" ref="Q364">_xlfn.IFS(N364&gt;=10,"high",N364&gt;=5,"midum",N364&lt;5,"low")</f>
        <v>midum</v>
      </c>
      <c r="R364" t="str">
        <f t="shared" si="17"/>
        <v>midum</v>
      </c>
    </row>
    <row r="365" spans="1:18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t="str">
        <f t="shared" si="16"/>
        <v>High price</v>
      </c>
      <c r="Q365" t="str" cm="1">
        <f t="array" ref="Q365">_xlfn.IFS(N365&gt;=10,"high",N365&gt;=5,"midum",N365&lt;5,"low")</f>
        <v>high</v>
      </c>
      <c r="R365" t="str">
        <f t="shared" si="17"/>
        <v>midum</v>
      </c>
    </row>
    <row r="366" spans="1:18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t="str">
        <f t="shared" si="16"/>
        <v>Low price</v>
      </c>
      <c r="Q366" t="str" cm="1">
        <f t="array" ref="Q366">_xlfn.IFS(N366&gt;=10,"high",N366&gt;=5,"midum",N366&lt;5,"low")</f>
        <v>high</v>
      </c>
      <c r="R366" t="str">
        <f t="shared" si="17"/>
        <v>midum</v>
      </c>
    </row>
    <row r="367" spans="1:18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t="str">
        <f t="shared" si="16"/>
        <v>Low price</v>
      </c>
      <c r="Q367" t="str" cm="1">
        <f t="array" ref="Q367">_xlfn.IFS(N367&gt;=10,"high",N367&gt;=5,"midum",N367&lt;5,"low")</f>
        <v>high</v>
      </c>
      <c r="R367" t="str">
        <f t="shared" si="17"/>
        <v>midum</v>
      </c>
    </row>
    <row r="368" spans="1:18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t="str">
        <f t="shared" si="16"/>
        <v>Low price</v>
      </c>
      <c r="Q368" t="str" cm="1">
        <f t="array" ref="Q368">_xlfn.IFS(N368&gt;=10,"high",N368&gt;=5,"midum",N368&lt;5,"low")</f>
        <v>midum</v>
      </c>
      <c r="R368" t="str">
        <f t="shared" si="17"/>
        <v>midum</v>
      </c>
    </row>
    <row r="369" spans="1:18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t="str">
        <f t="shared" si="16"/>
        <v>Low price</v>
      </c>
      <c r="Q369" t="str" cm="1">
        <f t="array" ref="Q369">_xlfn.IFS(N369&gt;=10,"high",N369&gt;=5,"midum",N369&lt;5,"low")</f>
        <v>low</v>
      </c>
      <c r="R369" t="str">
        <f t="shared" si="17"/>
        <v>midum</v>
      </c>
    </row>
    <row r="370" spans="1:18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t="str">
        <f t="shared" si="16"/>
        <v>Low price</v>
      </c>
      <c r="Q370" t="str" cm="1">
        <f t="array" ref="Q370">_xlfn.IFS(N370&gt;=10,"high",N370&gt;=5,"midum",N370&lt;5,"low")</f>
        <v>high</v>
      </c>
      <c r="R370" t="str">
        <f t="shared" si="17"/>
        <v>midum</v>
      </c>
    </row>
    <row r="371" spans="1:18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t="str">
        <f t="shared" si="16"/>
        <v>Low price</v>
      </c>
      <c r="Q371" t="str" cm="1">
        <f t="array" ref="Q371">_xlfn.IFS(N371&gt;=10,"high",N371&gt;=5,"midum",N371&lt;5,"low")</f>
        <v>low</v>
      </c>
      <c r="R371" t="str">
        <f t="shared" si="17"/>
        <v>midum</v>
      </c>
    </row>
    <row r="372" spans="1:18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t="str">
        <f t="shared" si="16"/>
        <v>High price</v>
      </c>
      <c r="Q372" t="str" cm="1">
        <f t="array" ref="Q372">_xlfn.IFS(N372&gt;=10,"high",N372&gt;=5,"midum",N372&lt;5,"low")</f>
        <v>high</v>
      </c>
      <c r="R372" t="str">
        <f t="shared" si="17"/>
        <v>high</v>
      </c>
    </row>
    <row r="373" spans="1:18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t="str">
        <f t="shared" si="16"/>
        <v>Low price</v>
      </c>
      <c r="Q373" t="str" cm="1">
        <f t="array" ref="Q373">_xlfn.IFS(N373&gt;=10,"high",N373&gt;=5,"midum",N373&lt;5,"low")</f>
        <v>high</v>
      </c>
      <c r="R373" t="str">
        <f t="shared" si="17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E597-87D8-41DC-989F-103A52F67EF3}">
  <dimension ref="A1:H12"/>
  <sheetViews>
    <sheetView tabSelected="1" workbookViewId="0">
      <selection activeCell="H2" sqref="H2"/>
    </sheetView>
  </sheetViews>
  <sheetFormatPr defaultRowHeight="14.5" x14ac:dyDescent="0.35"/>
  <sheetData>
    <row r="1" spans="1:8" x14ac:dyDescent="0.3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8" x14ac:dyDescent="0.35">
      <c r="A2" s="1" t="s">
        <v>84</v>
      </c>
      <c r="B2" s="1">
        <v>80</v>
      </c>
      <c r="C2" s="1">
        <v>60</v>
      </c>
      <c r="D2" s="1">
        <v>80</v>
      </c>
      <c r="E2" s="1">
        <f>SUM(B2,C2,D2)</f>
        <v>220</v>
      </c>
      <c r="F2" s="1">
        <f>E2/3</f>
        <v>73.333333333333329</v>
      </c>
      <c r="G2" s="1" t="str" cm="1">
        <f t="array" ref="G2">_xlfn.IFS(F2&gt;=70,"A",F2&gt;=50,"B",F2&gt;=40,"c",F2&gt;=40,"pass",F2&lt;40,"fail")</f>
        <v>A</v>
      </c>
      <c r="H2" t="str">
        <f>IF(AND(B2&gt;=40,C2&gt;=40,D2&gt;=80),"pass","fail")</f>
        <v>pass</v>
      </c>
    </row>
    <row r="3" spans="1:8" x14ac:dyDescent="0.35">
      <c r="A3" s="1" t="s">
        <v>83</v>
      </c>
      <c r="B3" s="1">
        <v>13</v>
      </c>
      <c r="C3" s="1">
        <v>45</v>
      </c>
      <c r="D3" s="1">
        <v>50</v>
      </c>
      <c r="E3" s="1">
        <f t="shared" ref="E3:E6" si="0">SUM(B3,C3,D3)</f>
        <v>108</v>
      </c>
      <c r="F3" s="1">
        <f t="shared" ref="F3:F6" si="1">E3/3</f>
        <v>36</v>
      </c>
      <c r="G3" s="1" t="str" cm="1">
        <f t="array" ref="G3">_xlfn.IFS(F3&gt;=70,"a",F3&gt;=50,"B",F3&gt;=40,"c",F3&gt;=40,"pass",F3&lt;40,"fail")</f>
        <v>fail</v>
      </c>
      <c r="H3" t="str">
        <f t="shared" ref="H3:H6" si="2">IF(AND(B3&gt;=40,C3&gt;=40,D3&gt;=80),"pass","fail")</f>
        <v>fail</v>
      </c>
    </row>
    <row r="4" spans="1:8" x14ac:dyDescent="0.35">
      <c r="A4" s="1" t="s">
        <v>80</v>
      </c>
      <c r="B4" s="1">
        <v>14</v>
      </c>
      <c r="C4" s="1">
        <v>40</v>
      </c>
      <c r="D4" s="1">
        <v>20</v>
      </c>
      <c r="E4" s="1">
        <f t="shared" si="0"/>
        <v>74</v>
      </c>
      <c r="F4" s="1">
        <f t="shared" si="1"/>
        <v>24.666666666666668</v>
      </c>
      <c r="G4" s="1" t="str" cm="1">
        <f t="array" ref="G4">_xlfn.IFS(F4&gt;=70,"a",F4&gt;=50,"B",F4&gt;=40,"c",F4&gt;=40,"pass",F4&lt;40,"fail")</f>
        <v>fail</v>
      </c>
      <c r="H4" t="str">
        <f t="shared" si="2"/>
        <v>fail</v>
      </c>
    </row>
    <row r="5" spans="1:8" x14ac:dyDescent="0.35">
      <c r="A5" s="1" t="s">
        <v>81</v>
      </c>
      <c r="B5" s="1">
        <v>60</v>
      </c>
      <c r="C5" s="1">
        <v>70</v>
      </c>
      <c r="D5" s="1">
        <v>40</v>
      </c>
      <c r="E5" s="1">
        <f t="shared" si="0"/>
        <v>170</v>
      </c>
      <c r="F5" s="1">
        <f t="shared" si="1"/>
        <v>56.666666666666664</v>
      </c>
      <c r="G5" s="1" t="str" cm="1">
        <f t="array" ref="G5">_xlfn.IFS(F5&gt;=70,"a",F5&gt;=50,"B",F5&gt;=40,"c",F5&gt;=40,"pass",F5&lt;40,"fail")</f>
        <v>B</v>
      </c>
      <c r="H5" t="str">
        <f t="shared" si="2"/>
        <v>fail</v>
      </c>
    </row>
    <row r="6" spans="1:8" x14ac:dyDescent="0.35">
      <c r="A6" s="1" t="s">
        <v>82</v>
      </c>
      <c r="B6" s="1">
        <v>50</v>
      </c>
      <c r="C6" s="1">
        <v>70</v>
      </c>
      <c r="D6" s="1">
        <v>70</v>
      </c>
      <c r="E6" s="1">
        <f t="shared" si="0"/>
        <v>190</v>
      </c>
      <c r="F6" s="1">
        <f t="shared" si="1"/>
        <v>63.333333333333336</v>
      </c>
      <c r="G6" s="1" t="str" cm="1">
        <f t="array" ref="G6">_xlfn.IFS(F6&gt;=70,"a",F6&gt;=50,"B",F6&gt;=40,"c",F6&gt;=40,"pass",F6&lt;40,"fail")</f>
        <v>B</v>
      </c>
      <c r="H6" t="str">
        <f t="shared" si="2"/>
        <v>fail</v>
      </c>
    </row>
    <row r="12" spans="1:8" x14ac:dyDescent="0.35">
      <c r="F1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Pralay Jana</cp:lastModifiedBy>
  <dcterms:created xsi:type="dcterms:W3CDTF">2025-12-08T11:58:47Z</dcterms:created>
  <dcterms:modified xsi:type="dcterms:W3CDTF">2026-03-05T18:10:45Z</dcterms:modified>
</cp:coreProperties>
</file>