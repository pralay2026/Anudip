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la\Downloads\class\"/>
    </mc:Choice>
  </mc:AlternateContent>
  <xr:revisionPtr revIDLastSave="0" documentId="8_{67671677-9C52-49E8-883E-772913C6475A}" xr6:coauthVersionLast="47" xr6:coauthVersionMax="47" xr10:uidLastSave="{00000000-0000-0000-0000-000000000000}"/>
  <bookViews>
    <workbookView xWindow="-110" yWindow="-110" windowWidth="19420" windowHeight="10300" xr2:uid="{59D188E2-D7E9-4C8C-99F2-D2D862B93D83}"/>
  </bookViews>
  <sheets>
    <sheet name="IF Statement" sheetId="1" r:id="rId1"/>
    <sheet name="Sheet1" sheetId="6" r:id="rId2"/>
    <sheet name="Sheet2" sheetId="7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6" l="1"/>
  <c r="H2" i="6"/>
  <c r="L2" i="1"/>
  <c r="K2" i="1"/>
  <c r="K3" i="1"/>
  <c r="I2" i="1"/>
  <c r="M7" i="6" l="1"/>
  <c r="L7" i="6"/>
  <c r="K7" i="6"/>
  <c r="J7" i="6"/>
  <c r="I7" i="6"/>
  <c r="H7" i="6"/>
  <c r="M6" i="6"/>
  <c r="L6" i="6"/>
  <c r="K6" i="6"/>
  <c r="J6" i="6"/>
  <c r="I6" i="6"/>
  <c r="H6" i="6"/>
  <c r="M5" i="6"/>
  <c r="L5" i="6"/>
  <c r="K5" i="6"/>
  <c r="J5" i="6"/>
  <c r="I5" i="6"/>
  <c r="H5" i="6"/>
  <c r="M4" i="6"/>
  <c r="L4" i="6"/>
  <c r="K4" i="6"/>
  <c r="J4" i="6"/>
  <c r="I4" i="6"/>
  <c r="H4" i="6"/>
  <c r="M3" i="6"/>
  <c r="L3" i="6"/>
  <c r="K3" i="6"/>
  <c r="J3" i="6"/>
  <c r="I3" i="6"/>
  <c r="H3" i="6"/>
  <c r="M2" i="6"/>
  <c r="L2" i="6"/>
  <c r="J2" i="6"/>
  <c r="I2" i="6"/>
  <c r="M2" i="1"/>
  <c r="M4" i="1"/>
  <c r="M3" i="1"/>
  <c r="M5" i="1"/>
  <c r="M6" i="1"/>
  <c r="M7" i="1"/>
  <c r="L3" i="1"/>
  <c r="L4" i="1"/>
  <c r="L5" i="1"/>
  <c r="L6" i="1"/>
  <c r="L7" i="1"/>
  <c r="K4" i="1"/>
  <c r="K5" i="1"/>
  <c r="K6" i="1"/>
  <c r="K7" i="1"/>
  <c r="J3" i="1"/>
  <c r="J4" i="1"/>
  <c r="J5" i="1"/>
  <c r="J6" i="1"/>
  <c r="J7" i="1"/>
  <c r="J2" i="1"/>
  <c r="I3" i="1"/>
  <c r="I4" i="1"/>
  <c r="I5" i="1"/>
  <c r="I6" i="1"/>
  <c r="I7" i="1"/>
  <c r="H3" i="1"/>
  <c r="H4" i="1"/>
  <c r="H5" i="1"/>
  <c r="H6" i="1"/>
  <c r="H7" i="1"/>
  <c r="H2" i="1"/>
</calcChain>
</file>

<file path=xl/sharedStrings.xml><?xml version="1.0" encoding="utf-8"?>
<sst xmlns="http://schemas.openxmlformats.org/spreadsheetml/2006/main" count="115" uniqueCount="40">
  <si>
    <t>productid</t>
  </si>
  <si>
    <t>product</t>
  </si>
  <si>
    <t>sales</t>
  </si>
  <si>
    <t>target</t>
  </si>
  <si>
    <t>region</t>
  </si>
  <si>
    <t>sale target</t>
  </si>
  <si>
    <t>Regional bonus</t>
  </si>
  <si>
    <t>commission rate</t>
  </si>
  <si>
    <t>Bonus amount</t>
  </si>
  <si>
    <t>Sales performens</t>
  </si>
  <si>
    <t>Salse performens</t>
  </si>
  <si>
    <t>Year-end-Bonus</t>
  </si>
  <si>
    <t>high performer</t>
  </si>
  <si>
    <t>productA</t>
  </si>
  <si>
    <t>north</t>
  </si>
  <si>
    <t>No</t>
  </si>
  <si>
    <t>no eligble</t>
  </si>
  <si>
    <t>producB</t>
  </si>
  <si>
    <t>south</t>
  </si>
  <si>
    <t>yes</t>
  </si>
  <si>
    <t>productC</t>
  </si>
  <si>
    <t>east</t>
  </si>
  <si>
    <t>eligible</t>
  </si>
  <si>
    <t>productD</t>
  </si>
  <si>
    <t>west</t>
  </si>
  <si>
    <t>productE</t>
  </si>
  <si>
    <t>productF</t>
  </si>
  <si>
    <t xml:space="preserve"> </t>
  </si>
  <si>
    <t xml:space="preserve">Product </t>
  </si>
  <si>
    <t xml:space="preserve">Region </t>
  </si>
  <si>
    <t xml:space="preserve">Date    </t>
  </si>
  <si>
    <t xml:space="preserve">Sales </t>
  </si>
  <si>
    <t>Product A</t>
  </si>
  <si>
    <t xml:space="preserve">North </t>
  </si>
  <si>
    <t>Product B</t>
  </si>
  <si>
    <t xml:space="preserve">South </t>
  </si>
  <si>
    <t xml:space="preserve">East </t>
  </si>
  <si>
    <t>Product C</t>
  </si>
  <si>
    <t xml:space="preserve">West </t>
  </si>
  <si>
    <t xml:space="preserve">Product 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</si>
</sst>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14" fontId="2" fillId="0" borderId="1" xfId="0" applyNumberFormat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justify" vertical="center" wrapText="1"/>
    </xf>
  </cellXfs>
  <cellStyles count="1">
    <cellStyle name="Normal" xfId="0" builtinId="0"/>
  </cellStyles>
  <dxfs count="2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42B84-32EF-4CC7-A2AE-2887608158D9}">
  <dimension ref="A1:M15"/>
  <sheetViews>
    <sheetView tabSelected="1" zoomScale="94" workbookViewId="0">
      <selection activeCell="J13" sqref="J13"/>
    </sheetView>
  </sheetViews>
  <sheetFormatPr defaultRowHeight="14.5" x14ac:dyDescent="0.35"/>
  <cols>
    <col min="6" max="6" width="9.7265625" customWidth="1"/>
    <col min="7" max="7" width="13.54296875" bestFit="1" customWidth="1"/>
    <col min="8" max="8" width="14.7265625" bestFit="1" customWidth="1"/>
    <col min="9" max="9" width="13.453125" customWidth="1"/>
    <col min="10" max="10" width="17.1796875" bestFit="1" customWidth="1"/>
    <col min="11" max="11" width="15.453125" bestFit="1" customWidth="1"/>
    <col min="12" max="12" width="14.26953125" bestFit="1" customWidth="1"/>
    <col min="13" max="13" width="13.54296875" bestFit="1" customWidth="1"/>
    <col min="14" max="14" width="9.453125" customWidth="1"/>
    <col min="15" max="15" width="9.7265625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2">
        <v>101</v>
      </c>
      <c r="B2" s="2" t="s">
        <v>13</v>
      </c>
      <c r="C2" s="2">
        <v>120</v>
      </c>
      <c r="D2" s="2">
        <v>150</v>
      </c>
      <c r="E2" s="2" t="s">
        <v>14</v>
      </c>
      <c r="F2" s="2" t="s">
        <v>15</v>
      </c>
      <c r="G2" s="2" t="s">
        <v>16</v>
      </c>
      <c r="H2" s="2">
        <f>IF(C2&gt;=200,10%,IF(C2&gt;=150,7%,5%))</f>
        <v>0.05</v>
      </c>
      <c r="I2" s="2">
        <f>IF(C2&gt;=D2,C2*10%,C2*5%)</f>
        <v>6</v>
      </c>
      <c r="J2" s="2" t="str">
        <f>IF(C2&gt;=200,"Excellent",IF(C2&gt;=150,"good","Need Improvement"))</f>
        <v>Need Improvement</v>
      </c>
      <c r="K2" s="2" t="str">
        <f>IF(C2&gt;200,"High",IF(C2&gt;=100,"Medium","Low"))</f>
        <v>Medium</v>
      </c>
      <c r="L2" s="2">
        <f>IF(AND(C2&gt;=150,E2="North"),500,300)</f>
        <v>300</v>
      </c>
      <c r="M2" s="2" t="str">
        <f>IF(C2&gt;=PERCENTILE($C$2:$C$7,0.75),"High performer","Normal")</f>
        <v>Normal</v>
      </c>
    </row>
    <row r="3" spans="1:13" x14ac:dyDescent="0.35">
      <c r="A3" s="2">
        <v>102</v>
      </c>
      <c r="B3" s="2" t="s">
        <v>17</v>
      </c>
      <c r="C3" s="2">
        <v>150</v>
      </c>
      <c r="D3" s="2">
        <v>140</v>
      </c>
      <c r="E3" s="2" t="s">
        <v>18</v>
      </c>
      <c r="F3" s="2" t="s">
        <v>19</v>
      </c>
      <c r="G3" s="2" t="s">
        <v>16</v>
      </c>
      <c r="H3" s="2">
        <f t="shared" ref="H3:H7" si="0">IF(C3&gt;=200,10%,IF(C3&gt;=150,7%,5%))</f>
        <v>7.0000000000000007E-2</v>
      </c>
      <c r="I3" s="2">
        <f t="shared" ref="I3:I7" si="1">IF(C3&gt;=D3,C3*10%,C3*5%)</f>
        <v>15</v>
      </c>
      <c r="J3" s="2" t="str">
        <f t="shared" ref="J3:J7" si="2">IF(C3&gt;=200,"Excellent",IF(C3&gt;=150,"good","Need Improvement"))</f>
        <v>good</v>
      </c>
      <c r="K3" s="2" t="str">
        <f>IF(C3&gt;200,"High",IF(C3&gt;=100,"Medium","Low"))</f>
        <v>Medium</v>
      </c>
      <c r="L3" s="2">
        <f t="shared" ref="L3:L7" si="3">IF(AND(C3&gt;=150,E3="North"),500,300)</f>
        <v>300</v>
      </c>
      <c r="M3" s="2" t="str">
        <f>IF(C3&gt;=PERCENTILE($C$2:$C$7,0.75),"High performer","Normal")</f>
        <v>Normal</v>
      </c>
    </row>
    <row r="4" spans="1:13" x14ac:dyDescent="0.35">
      <c r="A4" s="2">
        <v>103</v>
      </c>
      <c r="B4" s="2" t="s">
        <v>20</v>
      </c>
      <c r="C4" s="2">
        <v>200</v>
      </c>
      <c r="D4" s="2">
        <v>200</v>
      </c>
      <c r="E4" s="2" t="s">
        <v>21</v>
      </c>
      <c r="F4" s="2" t="s">
        <v>19</v>
      </c>
      <c r="G4" s="2" t="s">
        <v>22</v>
      </c>
      <c r="H4" s="2">
        <f t="shared" si="0"/>
        <v>0.1</v>
      </c>
      <c r="I4" s="2">
        <f t="shared" si="1"/>
        <v>20</v>
      </c>
      <c r="J4" s="2" t="str">
        <f t="shared" si="2"/>
        <v>Excellent</v>
      </c>
      <c r="K4" s="2" t="str">
        <f t="shared" ref="K4:K7" si="4">IF(C4&gt;200,"High",IF(C4&gt;=100,"Medium","Low"))</f>
        <v>Medium</v>
      </c>
      <c r="L4" s="2">
        <f t="shared" si="3"/>
        <v>300</v>
      </c>
      <c r="M4" s="2" t="str">
        <f>IF(C4&gt;=PERCENTILE($C$2:$C$7,0.75),"High performer","Normal")</f>
        <v>High performer</v>
      </c>
    </row>
    <row r="5" spans="1:13" x14ac:dyDescent="0.35">
      <c r="A5" s="2">
        <v>104</v>
      </c>
      <c r="B5" s="2" t="s">
        <v>23</v>
      </c>
      <c r="C5" s="2">
        <v>90</v>
      </c>
      <c r="D5" s="2">
        <v>100</v>
      </c>
      <c r="E5" s="2" t="s">
        <v>24</v>
      </c>
      <c r="F5" s="2" t="s">
        <v>15</v>
      </c>
      <c r="G5" s="2" t="s">
        <v>16</v>
      </c>
      <c r="H5" s="2">
        <f t="shared" si="0"/>
        <v>0.05</v>
      </c>
      <c r="I5" s="2">
        <f t="shared" si="1"/>
        <v>4.5</v>
      </c>
      <c r="J5" s="2" t="str">
        <f t="shared" si="2"/>
        <v>Need Improvement</v>
      </c>
      <c r="K5" s="2" t="str">
        <f t="shared" si="4"/>
        <v>Low</v>
      </c>
      <c r="L5" s="2">
        <f t="shared" si="3"/>
        <v>300</v>
      </c>
      <c r="M5" s="2" t="str">
        <f t="shared" ref="M5:M7" si="5">IF(C5&gt;=PERCENTILE($C$2:$C$7,0.75),"High performer","Normal")</f>
        <v>Normal</v>
      </c>
    </row>
    <row r="6" spans="1:13" x14ac:dyDescent="0.35">
      <c r="A6" s="2">
        <v>105</v>
      </c>
      <c r="B6" s="2" t="s">
        <v>25</v>
      </c>
      <c r="C6" s="2">
        <v>220</v>
      </c>
      <c r="D6" s="2">
        <v>210</v>
      </c>
      <c r="E6" s="2" t="s">
        <v>14</v>
      </c>
      <c r="F6" s="2" t="s">
        <v>19</v>
      </c>
      <c r="G6" s="2" t="s">
        <v>22</v>
      </c>
      <c r="H6" s="2">
        <f t="shared" si="0"/>
        <v>0.1</v>
      </c>
      <c r="I6" s="2">
        <f t="shared" si="1"/>
        <v>22</v>
      </c>
      <c r="J6" s="2" t="str">
        <f t="shared" si="2"/>
        <v>Excellent</v>
      </c>
      <c r="K6" s="2" t="str">
        <f t="shared" si="4"/>
        <v>High</v>
      </c>
      <c r="L6" s="2">
        <f t="shared" si="3"/>
        <v>500</v>
      </c>
      <c r="M6" s="2" t="str">
        <f t="shared" si="5"/>
        <v>High performer</v>
      </c>
    </row>
    <row r="7" spans="1:13" x14ac:dyDescent="0.35">
      <c r="A7" s="2">
        <v>106</v>
      </c>
      <c r="B7" s="2" t="s">
        <v>26</v>
      </c>
      <c r="C7" s="2">
        <v>130</v>
      </c>
      <c r="D7" s="2">
        <v>160</v>
      </c>
      <c r="E7" s="2" t="s">
        <v>18</v>
      </c>
      <c r="F7" s="2" t="s">
        <v>15</v>
      </c>
      <c r="G7" s="2" t="s">
        <v>16</v>
      </c>
      <c r="H7" s="2">
        <f t="shared" si="0"/>
        <v>0.05</v>
      </c>
      <c r="I7" s="2">
        <f t="shared" si="1"/>
        <v>6.5</v>
      </c>
      <c r="J7" s="2" t="str">
        <f t="shared" si="2"/>
        <v>Need Improvement</v>
      </c>
      <c r="K7" s="2" t="str">
        <f t="shared" si="4"/>
        <v>Medium</v>
      </c>
      <c r="L7" s="2">
        <f t="shared" si="3"/>
        <v>300</v>
      </c>
      <c r="M7" s="2" t="str">
        <f t="shared" si="5"/>
        <v>Normal</v>
      </c>
    </row>
    <row r="8" spans="1:13" x14ac:dyDescent="0.35">
      <c r="M8" t="s">
        <v>27</v>
      </c>
    </row>
    <row r="15" spans="1:13" x14ac:dyDescent="0.35">
      <c r="F15" t="s">
        <v>27</v>
      </c>
    </row>
  </sheetData>
  <conditionalFormatting sqref="F1:M7">
    <cfRule type="colorScale" priority="2">
      <colorScale>
        <cfvo type="min"/>
        <cfvo type="max"/>
        <color rgb="FF63BE7B"/>
        <color rgb="FFFCFCFF"/>
      </colorScale>
    </cfRule>
  </conditionalFormatting>
  <conditionalFormatting sqref="F2:M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BFD4F-CDAA-4EF2-A2A8-6A0ACE566862}">
  <dimension ref="A1:N7"/>
  <sheetViews>
    <sheetView workbookViewId="0">
      <selection activeCell="K2" sqref="K2"/>
    </sheetView>
  </sheetViews>
  <sheetFormatPr defaultRowHeight="14.5" x14ac:dyDescent="0.35"/>
  <cols>
    <col min="13" max="13" width="13.726562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</row>
    <row r="2" spans="1:14" x14ac:dyDescent="0.35">
      <c r="A2" s="2">
        <v>101</v>
      </c>
      <c r="B2" s="2" t="s">
        <v>13</v>
      </c>
      <c r="C2" s="2">
        <v>120</v>
      </c>
      <c r="D2" s="2">
        <v>150</v>
      </c>
      <c r="E2" s="2" t="s">
        <v>14</v>
      </c>
      <c r="F2" s="2" t="s">
        <v>15</v>
      </c>
      <c r="G2" s="2" t="s">
        <v>16</v>
      </c>
      <c r="H2" s="2">
        <f>IF(C2&gt;=200,10%,IF(C2&gt;=150,7%,5%))</f>
        <v>0.05</v>
      </c>
      <c r="I2" s="2">
        <f>IF(C2&gt;=D2,C2*10%,C2*5%)</f>
        <v>6</v>
      </c>
      <c r="J2" s="2" t="str">
        <f>IF(C2&gt;=200,"Excellent",IF(C2&gt;=150,"good","Need Improvement"))</f>
        <v>Need Improvement</v>
      </c>
      <c r="K2" s="2" t="str">
        <f>IF(C2&gt;200,"High",IF(C2&gt;=100,"Medium","Low"))</f>
        <v>Medium</v>
      </c>
      <c r="L2" s="2">
        <f>IF(AND(C2&gt;=150,E2="North"),500,300)</f>
        <v>300</v>
      </c>
      <c r="M2" s="2" t="str">
        <f>IF(C2&gt;=PERCENTILE($C$2:$C$7,0.75),"High performer","Normal")</f>
        <v>Normal</v>
      </c>
      <c r="N2" s="2"/>
    </row>
    <row r="3" spans="1:14" x14ac:dyDescent="0.35">
      <c r="A3" s="2">
        <v>102</v>
      </c>
      <c r="B3" s="2" t="s">
        <v>17</v>
      </c>
      <c r="C3" s="2">
        <v>150</v>
      </c>
      <c r="D3" s="2">
        <v>140</v>
      </c>
      <c r="E3" s="2" t="s">
        <v>18</v>
      </c>
      <c r="F3" s="2" t="s">
        <v>19</v>
      </c>
      <c r="G3" s="2" t="s">
        <v>16</v>
      </c>
      <c r="H3" s="2">
        <f t="shared" ref="H3:H7" si="0">IF(C3&gt;=200,10%,IF(C3&gt;=150,7%,5%))</f>
        <v>7.0000000000000007E-2</v>
      </c>
      <c r="I3" s="2">
        <f t="shared" ref="I3:I7" si="1">IF(C3&gt;=D3,C3*10%,C3*5%)</f>
        <v>15</v>
      </c>
      <c r="J3" s="2" t="str">
        <f t="shared" ref="J3:J7" si="2">IF(C3&gt;=200,"Excellent",IF(C3&gt;=150,"good","Need Improvement"))</f>
        <v>good</v>
      </c>
      <c r="K3" s="2" t="str">
        <f t="shared" ref="K3:K7" si="3">IF(C3&gt;200,"High",IF(C3&gt;=100,"Medium","Low"))</f>
        <v>Medium</v>
      </c>
      <c r="L3" s="2">
        <f t="shared" ref="L3:L7" si="4">IF(AND(C3&gt;=150,E3="North"),500,300)</f>
        <v>300</v>
      </c>
      <c r="M3" s="2" t="str">
        <f>IF(C3&gt;=PERCENTILE($C$2:$C$7,0.75),"High performer","Normal")</f>
        <v>Normal</v>
      </c>
      <c r="N3" s="2"/>
    </row>
    <row r="4" spans="1:14" x14ac:dyDescent="0.35">
      <c r="A4" s="2">
        <v>103</v>
      </c>
      <c r="B4" s="2" t="s">
        <v>20</v>
      </c>
      <c r="C4" s="2">
        <v>200</v>
      </c>
      <c r="D4" s="2">
        <v>200</v>
      </c>
      <c r="E4" s="2" t="s">
        <v>21</v>
      </c>
      <c r="F4" s="2" t="s">
        <v>19</v>
      </c>
      <c r="G4" s="2" t="s">
        <v>22</v>
      </c>
      <c r="H4" s="2">
        <f t="shared" si="0"/>
        <v>0.1</v>
      </c>
      <c r="I4" s="2">
        <f t="shared" si="1"/>
        <v>20</v>
      </c>
      <c r="J4" s="2" t="str">
        <f t="shared" si="2"/>
        <v>Excellent</v>
      </c>
      <c r="K4" s="2" t="str">
        <f t="shared" si="3"/>
        <v>Medium</v>
      </c>
      <c r="L4" s="2">
        <f t="shared" si="4"/>
        <v>300</v>
      </c>
      <c r="M4" s="2" t="str">
        <f>IF(C4&gt;=PERCENTILE($C$2:$C$7,0.75),"High performer","Normal")</f>
        <v>High performer</v>
      </c>
      <c r="N4" s="2"/>
    </row>
    <row r="5" spans="1:14" x14ac:dyDescent="0.35">
      <c r="A5" s="2">
        <v>104</v>
      </c>
      <c r="B5" s="2" t="s">
        <v>23</v>
      </c>
      <c r="C5" s="2">
        <v>90</v>
      </c>
      <c r="D5" s="2">
        <v>100</v>
      </c>
      <c r="E5" s="2" t="s">
        <v>24</v>
      </c>
      <c r="F5" s="2" t="s">
        <v>15</v>
      </c>
      <c r="G5" s="2" t="s">
        <v>16</v>
      </c>
      <c r="H5" s="2">
        <f t="shared" si="0"/>
        <v>0.05</v>
      </c>
      <c r="I5" s="2">
        <f t="shared" si="1"/>
        <v>4.5</v>
      </c>
      <c r="J5" s="2" t="str">
        <f t="shared" si="2"/>
        <v>Need Improvement</v>
      </c>
      <c r="K5" s="2" t="str">
        <f t="shared" si="3"/>
        <v>Low</v>
      </c>
      <c r="L5" s="2">
        <f t="shared" si="4"/>
        <v>300</v>
      </c>
      <c r="M5" s="2" t="str">
        <f t="shared" ref="M5:M7" si="5">IF(C5&gt;=PERCENTILE($C$2:$C$7,0.75),"High performer","Normal")</f>
        <v>Normal</v>
      </c>
      <c r="N5" s="2"/>
    </row>
    <row r="6" spans="1:14" x14ac:dyDescent="0.35">
      <c r="A6" s="2">
        <v>105</v>
      </c>
      <c r="B6" s="2" t="s">
        <v>25</v>
      </c>
      <c r="C6" s="2">
        <v>220</v>
      </c>
      <c r="D6" s="2">
        <v>210</v>
      </c>
      <c r="E6" s="2" t="s">
        <v>14</v>
      </c>
      <c r="F6" s="2" t="s">
        <v>19</v>
      </c>
      <c r="G6" s="2" t="s">
        <v>22</v>
      </c>
      <c r="H6" s="2">
        <f t="shared" si="0"/>
        <v>0.1</v>
      </c>
      <c r="I6" s="2">
        <f t="shared" si="1"/>
        <v>22</v>
      </c>
      <c r="J6" s="2" t="str">
        <f t="shared" si="2"/>
        <v>Excellent</v>
      </c>
      <c r="K6" s="2" t="str">
        <f t="shared" si="3"/>
        <v>High</v>
      </c>
      <c r="L6" s="2">
        <f t="shared" si="4"/>
        <v>500</v>
      </c>
      <c r="M6" s="2" t="str">
        <f t="shared" si="5"/>
        <v>High performer</v>
      </c>
      <c r="N6" s="2"/>
    </row>
    <row r="7" spans="1:14" x14ac:dyDescent="0.35">
      <c r="A7" s="2">
        <v>106</v>
      </c>
      <c r="B7" s="2" t="s">
        <v>26</v>
      </c>
      <c r="C7" s="2">
        <v>130</v>
      </c>
      <c r="D7" s="2">
        <v>160</v>
      </c>
      <c r="E7" s="2" t="s">
        <v>18</v>
      </c>
      <c r="F7" s="2" t="s">
        <v>15</v>
      </c>
      <c r="G7" s="2" t="s">
        <v>16</v>
      </c>
      <c r="H7" s="2">
        <f t="shared" si="0"/>
        <v>0.05</v>
      </c>
      <c r="I7" s="2">
        <f t="shared" si="1"/>
        <v>6.5</v>
      </c>
      <c r="J7" s="2" t="str">
        <f t="shared" si="2"/>
        <v>Need Improvement</v>
      </c>
      <c r="K7" s="2" t="str">
        <f t="shared" si="3"/>
        <v>Medium</v>
      </c>
      <c r="L7" s="2">
        <f t="shared" si="4"/>
        <v>300</v>
      </c>
      <c r="M7" s="2" t="str">
        <f t="shared" si="5"/>
        <v>Normal</v>
      </c>
      <c r="N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E2426-8D47-4061-B691-F3B1870A232C}">
  <dimension ref="A2:J10"/>
  <sheetViews>
    <sheetView workbookViewId="0">
      <selection activeCell="J5" sqref="J5"/>
    </sheetView>
  </sheetViews>
  <sheetFormatPr defaultRowHeight="14.5" x14ac:dyDescent="0.35"/>
  <cols>
    <col min="1" max="1" width="14.08984375" customWidth="1"/>
    <col min="2" max="2" width="8.81640625" hidden="1" customWidth="1"/>
    <col min="3" max="3" width="8.6328125" customWidth="1"/>
    <col min="4" max="4" width="1" hidden="1" customWidth="1"/>
    <col min="5" max="5" width="12" customWidth="1"/>
  </cols>
  <sheetData>
    <row r="2" spans="1:10" ht="31" x14ac:dyDescent="0.35">
      <c r="A2" s="5" t="s">
        <v>28</v>
      </c>
      <c r="B2" s="5" t="s">
        <v>27</v>
      </c>
      <c r="C2" s="5" t="s">
        <v>29</v>
      </c>
      <c r="D2" s="5" t="s">
        <v>27</v>
      </c>
      <c r="E2" s="5" t="s">
        <v>30</v>
      </c>
      <c r="F2" s="6" t="s">
        <v>31</v>
      </c>
    </row>
    <row r="3" spans="1:10" ht="15.5" x14ac:dyDescent="0.35">
      <c r="A3" s="3" t="s">
        <v>32</v>
      </c>
      <c r="B3" s="3" t="s">
        <v>27</v>
      </c>
      <c r="C3" s="3" t="s">
        <v>33</v>
      </c>
      <c r="D3" s="3" t="s">
        <v>27</v>
      </c>
      <c r="E3" s="4">
        <v>45292</v>
      </c>
      <c r="F3" s="3">
        <v>120</v>
      </c>
    </row>
    <row r="4" spans="1:10" ht="31" x14ac:dyDescent="0.35">
      <c r="A4" s="3" t="s">
        <v>34</v>
      </c>
      <c r="B4" s="3" t="s">
        <v>27</v>
      </c>
      <c r="C4" s="3" t="s">
        <v>35</v>
      </c>
      <c r="D4" s="3" t="s">
        <v>27</v>
      </c>
      <c r="E4" s="4">
        <v>45293</v>
      </c>
      <c r="F4" s="3">
        <v>150</v>
      </c>
    </row>
    <row r="5" spans="1:10" ht="31" x14ac:dyDescent="0.35">
      <c r="A5" s="3" t="s">
        <v>32</v>
      </c>
      <c r="B5" s="3" t="s">
        <v>27</v>
      </c>
      <c r="C5" s="3" t="s">
        <v>36</v>
      </c>
      <c r="D5" s="3" t="s">
        <v>27</v>
      </c>
      <c r="E5" s="4">
        <v>45294</v>
      </c>
      <c r="F5" s="3">
        <v>200</v>
      </c>
      <c r="J5" t="s">
        <v>39</v>
      </c>
    </row>
    <row r="6" spans="1:10" ht="31" x14ac:dyDescent="0.35">
      <c r="A6" s="3" t="s">
        <v>37</v>
      </c>
      <c r="B6" s="3" t="s">
        <v>27</v>
      </c>
      <c r="C6" s="3" t="s">
        <v>38</v>
      </c>
      <c r="D6" s="3" t="s">
        <v>27</v>
      </c>
      <c r="E6" s="4">
        <v>45295</v>
      </c>
      <c r="F6" s="3">
        <v>90</v>
      </c>
    </row>
    <row r="7" spans="1:10" ht="31" x14ac:dyDescent="0.35">
      <c r="A7" s="3" t="s">
        <v>34</v>
      </c>
      <c r="B7" s="3" t="s">
        <v>27</v>
      </c>
      <c r="C7" s="3" t="s">
        <v>33</v>
      </c>
      <c r="D7" s="3" t="s">
        <v>27</v>
      </c>
      <c r="E7" s="4">
        <v>45296</v>
      </c>
      <c r="F7" s="3">
        <v>220</v>
      </c>
    </row>
    <row r="8" spans="1:10" ht="31" x14ac:dyDescent="0.35">
      <c r="A8" s="3" t="s">
        <v>32</v>
      </c>
      <c r="B8" s="3" t="s">
        <v>27</v>
      </c>
      <c r="C8" s="3" t="s">
        <v>35</v>
      </c>
      <c r="D8" s="3" t="s">
        <v>27</v>
      </c>
      <c r="E8" s="4">
        <v>45297</v>
      </c>
      <c r="F8" s="3">
        <v>130</v>
      </c>
    </row>
    <row r="9" spans="1:10" ht="31" x14ac:dyDescent="0.35">
      <c r="A9" s="3" t="s">
        <v>37</v>
      </c>
      <c r="B9" s="3" t="s">
        <v>27</v>
      </c>
      <c r="C9" s="3" t="s">
        <v>33</v>
      </c>
      <c r="D9" s="3" t="s">
        <v>27</v>
      </c>
      <c r="E9" s="4">
        <v>45298</v>
      </c>
      <c r="F9" s="3">
        <v>300</v>
      </c>
    </row>
    <row r="10" spans="1:10" ht="31" x14ac:dyDescent="0.35">
      <c r="A10" s="3" t="s">
        <v>34</v>
      </c>
      <c r="B10" s="3" t="s">
        <v>27</v>
      </c>
      <c r="C10" s="3" t="s">
        <v>36</v>
      </c>
      <c r="D10" s="3" t="s">
        <v>27</v>
      </c>
      <c r="E10" s="4">
        <v>45299</v>
      </c>
      <c r="F10" s="3">
        <v>80</v>
      </c>
    </row>
  </sheetData>
  <conditionalFormatting sqref="F3:F9">
    <cfRule type="cellIs" dxfId="1" priority="1" operator="greaterThan">
      <formula>149</formula>
    </cfRule>
    <cfRule type="cellIs" dxfId="0" priority="2" operator="greaterThan">
      <formula>150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IF Statement</vt:lpstr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Pralay Jana</dc:creator>
  <cp:keywords/>
  <dc:description/>
  <cp:lastModifiedBy>Pralay Jana</cp:lastModifiedBy>
  <cp:revision/>
  <cp:lastPrinted>2026-03-05T18:34:48Z</cp:lastPrinted>
  <dcterms:created xsi:type="dcterms:W3CDTF">2026-02-24T14:05:55Z</dcterms:created>
  <dcterms:modified xsi:type="dcterms:W3CDTF">2026-03-05T18:35:32Z</dcterms:modified>
  <cp:category/>
  <cp:contentStatus/>
</cp:coreProperties>
</file>